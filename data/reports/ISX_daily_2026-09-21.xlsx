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C55637A-FCCC-450B-ABCF-E79EFCE3F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OTC" sheetId="15" r:id="rId5"/>
    <sheet name="Not Trading Bonds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6" l="1"/>
  <c r="M29" i="16"/>
  <c r="N29" i="16"/>
  <c r="L22" i="16"/>
  <c r="M22" i="16"/>
  <c r="N22" i="16"/>
  <c r="L70" i="16"/>
  <c r="M70" i="16"/>
  <c r="N70" i="16"/>
  <c r="L74" i="16"/>
  <c r="M74" i="16"/>
  <c r="N74" i="16"/>
  <c r="L46" i="16"/>
  <c r="M46" i="16"/>
  <c r="N46" i="16"/>
  <c r="L41" i="16"/>
  <c r="M41" i="16"/>
  <c r="N41" i="16"/>
  <c r="L88" i="16"/>
  <c r="M88" i="16"/>
  <c r="N88" i="16"/>
  <c r="L80" i="16"/>
  <c r="M80" i="16"/>
  <c r="N80" i="16"/>
  <c r="L37" i="16" l="1"/>
  <c r="M37" i="16"/>
  <c r="N37" i="16"/>
  <c r="L53" i="16"/>
  <c r="M53" i="16"/>
  <c r="N53" i="16"/>
  <c r="L62" i="16"/>
  <c r="M62" i="16"/>
  <c r="N62" i="16"/>
  <c r="N59" i="16"/>
  <c r="M59" i="16"/>
  <c r="L59" i="16"/>
  <c r="I9" i="15"/>
  <c r="I10" i="15" s="1"/>
  <c r="H9" i="15"/>
  <c r="H10" i="15" s="1"/>
  <c r="G9" i="15"/>
  <c r="G10" i="15" s="1"/>
  <c r="L85" i="16" l="1"/>
  <c r="M85" i="16"/>
  <c r="N85" i="16"/>
  <c r="L18" i="16"/>
  <c r="M18" i="16"/>
  <c r="N18" i="16"/>
  <c r="M89" i="16" l="1"/>
  <c r="N89" i="16"/>
  <c r="L89" i="16"/>
  <c r="L14" i="16" l="1"/>
  <c r="M14" i="16"/>
  <c r="N14" i="16"/>
  <c r="L47" i="16" l="1"/>
  <c r="N47" i="16"/>
  <c r="M47" i="16"/>
  <c r="N56" i="16"/>
  <c r="N63" i="16" s="1"/>
  <c r="M56" i="16"/>
  <c r="M63" i="16" s="1"/>
  <c r="L56" i="16"/>
  <c r="L63" i="16" s="1"/>
  <c r="N90" i="16" l="1"/>
  <c r="I5" i="12" s="1"/>
  <c r="M90" i="16"/>
  <c r="D5" i="12" s="1"/>
  <c r="L90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<sst xmlns="http://schemas.openxmlformats.org/spreadsheetml/2006/main" count="508" uniqueCount="330">
  <si>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</si>
  <si>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</si>
  <si>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</si>
  <si>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</si>
  <si>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</si>
  <si>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</si>
  <si>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</si>
  <si>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</si>
  <si>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</si>
  <si>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</si>
  <si>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</si>
  <si>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</si>
  <si>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</si>
  <si>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</si>
  <si>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</si>
  <si>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</si>
  <si>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</si>
  <si>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</si>
  <si>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</si>
  <si>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</si>
  <si>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</si>
  <si>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</si>
  <si>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</si>
  <si>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</si>
  <si>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</si>
  <si>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</si>
  <si>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</si>
  <si>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</si>
  <si>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</si>
  <si>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</si>
  <si>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</si>
  <si>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</si>
  <si>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</si>
  <si>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Al-Ameen Estate Investment</t>
  </si>
  <si>
    <t>SAEI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</si>
  <si>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</si>
  <si>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</si>
  <si>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</si>
  <si>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</si>
  <si>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</si>
  <si>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</si>
  <si>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</si>
  <si>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</si>
  <si>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</si>
  <si>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</si>
  <si>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</si>
  <si>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</si>
  <si>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</si>
  <si>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</si>
  <si>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</si>
  <si>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</si>
  <si>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</si>
  <si>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</si>
  <si>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</si>
  <si>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</si>
  <si>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</si>
  <si>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</si>
  <si>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</si>
  <si>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</si>
  <si>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</si>
  <si>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</si>
  <si>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</si>
  <si>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</si>
  <si>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</si>
  <si>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</si>
  <si>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</si>
  <si>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</si>
  <si>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</si>
  <si>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</si>
  <si>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</si>
  <si>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</si>
  <si>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</si>
  <si>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</si>
  <si>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</si>
  <si>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</si>
  <si>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</si>
  <si>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</si>
  <si>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</si>
  <si>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</si>
  <si>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</si>
  <si>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</si>
  <si>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</si>
  <si>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</si>
  <si>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</si>
  <si>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</si>
  <si>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</si>
  <si>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</si>
  <si>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</si>
  <si>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</si>
  <si>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</si>
  <si>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</si>
  <si>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</si>
  <si>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</si>
  <si>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</si>
  <si>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</si>
  <si>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</si>
  <si>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Al janoob Islamic Bank</t>
  </si>
  <si>
    <t>BJAB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</si>
  <si>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</si>
  <si>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</si>
  <si>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</si>
  <si>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</si>
  <si>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</si>
  <si>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</si>
  <si>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</si>
  <si>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</si>
  <si>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</si>
  <si>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</si>
  <si>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</si>
  <si>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</si>
  <si>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</si>
  <si>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</si>
  <si>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</si>
  <si>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</si>
  <si>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</si>
  <si>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</si>
  <si>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</si>
  <si>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</si>
  <si>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</si>
  <si>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</si>
  <si>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</si>
  <si>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</si>
  <si>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</si>
  <si>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</si>
  <si>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</si>
  <si>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</si>
  <si>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</si>
  <si>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</si>
  <si>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Kharkh Tour Amuzement City</t>
  </si>
  <si>
    <t>SKTA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</si>
  <si>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</si>
  <si>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</si>
  <si>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</si>
  <si>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</si>
  <si>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</si>
  <si>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</si>
  <si>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</si>
  <si>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</si>
  <si>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</si>
  <si>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</si>
  <si>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</si>
  <si>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</si>
  <si>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</si>
  <si>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</si>
  <si>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</si>
  <si>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</si>
  <si>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</si>
  <si>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</si>
  <si>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</si>
  <si>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</si>
  <si>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</si>
  <si>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</si>
  <si>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</si>
  <si>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</si>
  <si>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</si>
  <si>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</si>
  <si>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</si>
  <si>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</si>
  <si>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</si>
  <si>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</si>
  <si>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</si>
  <si>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</si>
  <si>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</si>
  <si>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</si>
  <si>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</si>
  <si>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</si>
  <si>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</si>
  <si>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IBPM</t>
  </si>
  <si>
    <t>Baghdad for Packing Materials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</si>
  <si>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</si>
  <si>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</si>
  <si>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</si>
  <si>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</si>
  <si>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</si>
  <si>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</si>
  <si>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</si>
  <si>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</si>
  <si>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</si>
  <si>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</si>
  <si>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</si>
  <si>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</si>
  <si>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</si>
  <si>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</si>
  <si>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</si>
  <si>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</si>
  <si>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</si>
  <si>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</si>
  <si>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</si>
  <si>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</si>
  <si>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</si>
  <si>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</si>
  <si>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</si>
  <si>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</si>
  <si>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</si>
  <si>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</si>
  <si>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</si>
  <si>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</si>
  <si>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</si>
  <si>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</si>
  <si>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</si>
  <si>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</si>
  <si>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</si>
  <si>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</si>
  <si>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</si>
  <si>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</si>
  <si>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</si>
  <si>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</si>
  <si>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</si>
  <si>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</si>
  <si>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</si>
  <si>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</si>
  <si>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</si>
  <si>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</si>
  <si>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</si>
  <si>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</si>
  <si>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</si>
  <si>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</si>
  <si>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</si>
  <si>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</si>
  <si>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</si>
  <si>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</si>
  <si>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</si>
  <si>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</si>
  <si>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</si>
  <si>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</si>
  <si>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</si>
  <si>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</si>
  <si>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</si>
  <si>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</si>
  <si>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</si>
  <si>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</si>
  <si>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</si>
  <si>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</si>
  <si>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</si>
  <si>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</si>
  <si>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</si>
  <si>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</si>
  <si>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</si>
  <si>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</si>
  <si>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</si>
  <si>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</si>
  <si>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</si>
  <si>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</si>
  <si>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</si>
  <si>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</si>
  <si>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</si>
  <si>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</si>
  <si>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</si>
  <si>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</si>
  <si>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</si>
  <si>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</si>
  <si>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</si>
  <si>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</si>
  <si>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</si>
  <si>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</si>
  <si>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</si>
  <si>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</si>
  <si>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</si>
  <si>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</si>
  <si>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</si>
  <si>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</si>
  <si>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</si>
  <si>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</si>
  <si>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</si>
  <si>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</si>
  <si>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</si>
  <si>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</si>
  <si>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</si>
  <si>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</si>
  <si>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</si>
  <si>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</si>
  <si>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</si>
  <si>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</si>
  <si>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</si>
  <si>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</si>
  <si>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</si>
  <si>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</si>
  <si>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</si>
  <si>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</si>
  <si>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</si>
  <si>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</si>
  <si>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</si>
  <si>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</si>
  <si>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International Islamic Bank</t>
  </si>
  <si>
    <t>BINT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</si>
  <si>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</si>
  <si>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</si>
  <si>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</si>
  <si>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</si>
  <si>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</si>
  <si>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</si>
  <si>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</si>
  <si>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</si>
  <si>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</si>
  <si>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</si>
  <si>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</si>
  <si>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</si>
  <si>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</si>
  <si>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</si>
  <si>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</si>
  <si>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</si>
  <si>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</si>
  <si>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</si>
  <si>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</si>
  <si>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</si>
  <si>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</si>
  <si>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</si>
  <si>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</si>
  <si>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</si>
  <si>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</si>
  <si>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</si>
  <si>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</si>
  <si>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</si>
  <si>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</si>
  <si>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</si>
  <si>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</si>
  <si>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</si>
  <si>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</si>
  <si>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</si>
  <si>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</si>
  <si>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</si>
  <si>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</si>
  <si>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Bulletin No (166)</t>
  </si>
  <si>
    <t>ISX Trading Indices of Monday 21/9/2026</t>
  </si>
  <si>
    <t>Monday 21/9/2026</t>
  </si>
  <si>
    <t xml:space="preserve">OTC Platform Trading Bulletin No (166) </t>
  </si>
  <si>
    <t>Iraq Stock Exchange not trading companies of Monday 21/9/2026</t>
  </si>
  <si>
    <t xml:space="preserve">Non-Disclosing Platform Companies Bulletin No (166) </t>
  </si>
  <si>
    <t>Second Platform Market Bulletin No (166)</t>
  </si>
  <si>
    <t xml:space="preserve">Regular Market Bulletin No (166)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</si>
</sst>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_-* #,##0.00_-;_-* #,##0.00\-;_-* &quot;-&quot;??_-;_-@_-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</fills>
  <borders count="1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34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164" fontId="8" fillId="3" borderId="132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5" fillId="0" borderId="14" xfId="0" applyNumberFormat="1" applyFont="1" applyBorder="1" applyAlignment="1">
      <alignment horizontal="left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47625</xdr:rowOff>
    </xdr:from>
    <xdr:to>
      <xdr:col>7</xdr:col>
      <xdr:colOff>247650</xdr:colOff>
      <xdr:row>23</xdr:row>
      <xdr:rowOff>632956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2A2098-3137-6FBB-96E6-29516655C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33925"/>
          <a:ext cx="6315075" cy="3195181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257176</xdr:colOff>
      <xdr:row>15</xdr:row>
      <xdr:rowOff>47625</xdr:rowOff>
    </xdr:from>
    <xdr:to>
      <xdr:col>13</xdr:col>
      <xdr:colOff>2438401</xdr:colOff>
      <xdr:row>23</xdr:row>
      <xdr:rowOff>628650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8F301C-C2DB-E7B1-6AB5-C3F27280A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8451" y="4733925"/>
          <a:ext cx="5619750" cy="319087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6</xdr:row>
      <xdr:rowOff>0</xdr:rowOff>
    </xdr:from>
    <xdr:to>
      <xdr:col>13</xdr:col>
      <xdr:colOff>2438400</xdr:colOff>
      <xdr:row>14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0E5357-B467-6502-2500-E6A422EB9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125" y="1857375"/>
          <a:ext cx="3267075" cy="2524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5</xdr:col>
      <xdr:colOff>1267239</xdr:colOff>
      <xdr:row>28</xdr:row>
      <xdr:rowOff>306456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0ED77-A827-3A6D-D8A8-242110202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5"/>
          <a:ext cx="4845326" cy="282436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20</xdr:row>
      <xdr:rowOff>0</xdr:rowOff>
    </xdr:from>
    <xdr:to>
      <xdr:col>10</xdr:col>
      <xdr:colOff>1432892</xdr:colOff>
      <xdr:row>28</xdr:row>
      <xdr:rowOff>298174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A201A-F9DD-3BFD-D318-4302C60F4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10" y="5888935"/>
          <a:ext cx="5010978" cy="28160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47</xdr:row>
      <xdr:rowOff>17911</xdr:rowOff>
    </xdr:from>
    <xdr:to>
      <xdr:col>13</xdr:col>
      <xdr:colOff>1552894</xdr:colOff>
      <xdr:row>47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63</xdr:row>
      <xdr:rowOff>22981</xdr:rowOff>
    </xdr:from>
    <xdr:to>
      <xdr:col>14</xdr:col>
      <xdr:colOff>400</xdr:colOff>
      <xdr:row>63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Normal="100" workbookViewId="0">
      <selection activeCell="J14" sqref="J14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31" t="s">
        <v>0</v>
      </c>
      <c r="C1" s="132"/>
      <c r="D1" s="133"/>
      <c r="E1" s="134"/>
      <c r="F1" s="135"/>
      <c r="G1" s="135"/>
      <c r="H1" s="135"/>
      <c r="I1" s="135"/>
      <c r="J1" s="135"/>
      <c r="K1" s="136"/>
      <c r="L1" s="19"/>
      <c r="M1" s="19"/>
      <c r="N1" s="19"/>
    </row>
    <row r="2" spans="2:16" ht="30" customHeight="1">
      <c r="B2" s="144" t="s">
        <v>322</v>
      </c>
      <c r="C2" s="145"/>
      <c r="D2" s="146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37" t="s">
        <v>323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9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40" t="s">
        <v>61</v>
      </c>
      <c r="C5" s="141"/>
      <c r="D5" s="142">
        <f>'Bullient '!M90+OTC!H10</f>
        <v>903878180</v>
      </c>
      <c r="E5" s="143"/>
      <c r="F5" s="23"/>
      <c r="G5" s="140" t="s">
        <v>62</v>
      </c>
      <c r="H5" s="141"/>
      <c r="I5" s="142">
        <f>'Bullient '!N90+OTC!I10</f>
        <v>1175399743.9300001</v>
      </c>
      <c r="J5" s="143"/>
      <c r="K5" s="24"/>
      <c r="L5" s="140" t="s">
        <v>8</v>
      </c>
      <c r="M5" s="141"/>
      <c r="N5" s="25">
        <f>'Bullient '!L90+OTC!G10</f>
        <v>847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25"/>
      <c r="L6" s="126"/>
      <c r="M6" s="127"/>
      <c r="N6" s="28"/>
    </row>
    <row r="7" spans="2:16" ht="24.95" customHeight="1">
      <c r="B7" s="128" t="s">
        <v>1</v>
      </c>
      <c r="C7" s="129"/>
      <c r="D7" s="130"/>
      <c r="E7" s="29">
        <v>971.24</v>
      </c>
      <c r="F7" s="30"/>
      <c r="G7" s="128" t="s">
        <v>5</v>
      </c>
      <c r="H7" s="129"/>
      <c r="I7" s="130"/>
      <c r="J7" s="29">
        <v>1230.54</v>
      </c>
      <c r="K7" s="124"/>
      <c r="L7" s="119"/>
      <c r="M7" s="120"/>
      <c r="N7" s="18"/>
    </row>
    <row r="8" spans="2:16" ht="24.95" customHeight="1">
      <c r="B8" s="128" t="s">
        <v>2</v>
      </c>
      <c r="C8" s="129"/>
      <c r="D8" s="130"/>
      <c r="E8" s="29">
        <v>975</v>
      </c>
      <c r="F8" s="31"/>
      <c r="G8" s="128" t="s">
        <v>6</v>
      </c>
      <c r="H8" s="129"/>
      <c r="I8" s="130"/>
      <c r="J8" s="29">
        <v>1238.9100000000001</v>
      </c>
      <c r="K8" s="124"/>
      <c r="L8" s="119"/>
      <c r="M8" s="120"/>
      <c r="N8" s="18"/>
    </row>
    <row r="9" spans="2:16" ht="24.95" customHeight="1">
      <c r="B9" s="121" t="s">
        <v>3</v>
      </c>
      <c r="C9" s="122"/>
      <c r="D9" s="123"/>
      <c r="E9" s="117">
        <f>((E7/E8)-1)*100</f>
        <v>-0.38564102564102587</v>
      </c>
      <c r="F9" s="31"/>
      <c r="G9" s="121" t="s">
        <v>3</v>
      </c>
      <c r="H9" s="122"/>
      <c r="I9" s="123"/>
      <c r="J9" s="117">
        <f>((J7/J8)-1)*100</f>
        <v>-0.67559386880403638</v>
      </c>
      <c r="K9" s="124"/>
      <c r="L9" s="119"/>
      <c r="M9" s="120"/>
      <c r="N9" s="18"/>
    </row>
    <row r="10" spans="2:16" ht="24.95" customHeight="1">
      <c r="B10" s="121" t="s">
        <v>4</v>
      </c>
      <c r="C10" s="122"/>
      <c r="D10" s="123"/>
      <c r="E10" s="117">
        <f>E7-E8</f>
        <v>-3.7599999999999909</v>
      </c>
      <c r="F10" s="21"/>
      <c r="G10" s="121" t="s">
        <v>4</v>
      </c>
      <c r="H10" s="122"/>
      <c r="I10" s="123"/>
      <c r="J10" s="117">
        <f>J7-J8</f>
        <v>-8.3700000000001182</v>
      </c>
      <c r="K10" s="124"/>
      <c r="L10" s="119"/>
      <c r="M10" s="120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18"/>
      <c r="L11" s="119"/>
      <c r="M11" s="120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63</v>
      </c>
      <c r="E12" s="38">
        <v>22</v>
      </c>
      <c r="F12" s="21"/>
      <c r="G12" s="40" t="s">
        <v>68</v>
      </c>
      <c r="H12" s="38">
        <v>39</v>
      </c>
      <c r="I12" s="39" t="s">
        <v>63</v>
      </c>
      <c r="J12" s="38">
        <v>22</v>
      </c>
      <c r="K12" s="124"/>
      <c r="L12" s="119"/>
      <c r="M12" s="120"/>
      <c r="N12" s="18"/>
      <c r="O12" s="32"/>
    </row>
    <row r="13" spans="2:16" ht="24.95" customHeight="1">
      <c r="B13" s="37" t="s">
        <v>67</v>
      </c>
      <c r="C13" s="38">
        <v>48</v>
      </c>
      <c r="D13" s="39" t="s">
        <v>63</v>
      </c>
      <c r="E13" s="38">
        <v>1</v>
      </c>
      <c r="F13" s="30"/>
      <c r="G13" s="150" t="s">
        <v>65</v>
      </c>
      <c r="H13" s="151"/>
      <c r="I13" s="152"/>
      <c r="J13" s="38">
        <v>6</v>
      </c>
      <c r="K13" s="124"/>
      <c r="L13" s="119"/>
      <c r="M13" s="120"/>
      <c r="N13" s="18"/>
      <c r="O13" s="32"/>
    </row>
    <row r="14" spans="2:16" ht="24.95" customHeight="1">
      <c r="B14" s="121" t="s">
        <v>80</v>
      </c>
      <c r="C14" s="122" t="s">
        <v>10</v>
      </c>
      <c r="D14" s="123" t="s">
        <v>10</v>
      </c>
      <c r="E14" s="38">
        <v>7</v>
      </c>
      <c r="F14" s="21"/>
      <c r="G14" s="153" t="s">
        <v>66</v>
      </c>
      <c r="H14" s="154"/>
      <c r="I14" s="155"/>
      <c r="J14" s="38">
        <v>23</v>
      </c>
      <c r="K14" s="124"/>
      <c r="L14" s="119"/>
      <c r="M14" s="120"/>
      <c r="N14" s="26"/>
      <c r="O14" s="32"/>
    </row>
    <row r="15" spans="2:16" ht="24.95" customHeight="1">
      <c r="B15" s="121" t="s">
        <v>64</v>
      </c>
      <c r="C15" s="122" t="s">
        <v>11</v>
      </c>
      <c r="D15" s="123" t="s">
        <v>11</v>
      </c>
      <c r="E15" s="41">
        <v>9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6" ht="33" customHeight="1">
      <c r="A25" s="147" t="s">
        <v>12</v>
      </c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</row>
  </sheetData>
  <mergeCells count="31">
    <mergeCell ref="A25:N25"/>
    <mergeCell ref="K12:M12"/>
    <mergeCell ref="G13:I13"/>
    <mergeCell ref="K13:M13"/>
    <mergeCell ref="B14:D14"/>
    <mergeCell ref="B15:D15"/>
    <mergeCell ref="G14:I14"/>
    <mergeCell ref="K14:M14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K6:M6"/>
    <mergeCell ref="B7:D7"/>
    <mergeCell ref="G7:I7"/>
    <mergeCell ref="K7:M7"/>
    <mergeCell ref="B8:D8"/>
    <mergeCell ref="G8:I8"/>
    <mergeCell ref="K8:M8"/>
    <mergeCell ref="K11:M11"/>
    <mergeCell ref="B9:D9"/>
    <mergeCell ref="G9:I9"/>
    <mergeCell ref="K9:M9"/>
    <mergeCell ref="B10:D10"/>
    <mergeCell ref="G10:I10"/>
    <mergeCell ref="K10:M10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115" zoomScaleNormal="115" workbookViewId="0">
      <selection activeCell="O12" sqref="O12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57" t="s">
        <v>59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</row>
    <row r="3" spans="1:14" ht="36.75" customHeight="1">
      <c r="A3" s="158" t="s">
        <v>324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4" ht="21">
      <c r="A4" s="42"/>
      <c r="B4" s="42"/>
      <c r="C4" s="156" t="s">
        <v>13</v>
      </c>
      <c r="D4" s="156"/>
      <c r="E4" s="156"/>
      <c r="F4" s="156"/>
      <c r="G4" s="42"/>
      <c r="H4" s="156" t="s">
        <v>14</v>
      </c>
      <c r="I4" s="156"/>
      <c r="J4" s="156"/>
      <c r="K4" s="156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93</v>
      </c>
      <c r="D6" s="76">
        <v>8</v>
      </c>
      <c r="E6" s="84">
        <v>23.84</v>
      </c>
      <c r="F6" s="79">
        <v>3148000</v>
      </c>
      <c r="G6" s="42"/>
      <c r="H6" s="46" t="s">
        <v>277</v>
      </c>
      <c r="I6" s="76">
        <v>2.2999999999999998</v>
      </c>
      <c r="J6" s="85">
        <v>-9.8000000000000007</v>
      </c>
      <c r="K6" s="79">
        <v>4124259</v>
      </c>
      <c r="L6" s="1"/>
      <c r="M6" s="1"/>
    </row>
    <row r="7" spans="1:14" s="48" customFormat="1" ht="17.100000000000001" customHeight="1">
      <c r="A7" s="42"/>
      <c r="B7" s="42"/>
      <c r="C7" s="46" t="s">
        <v>211</v>
      </c>
      <c r="D7" s="76">
        <v>60</v>
      </c>
      <c r="E7" s="84">
        <v>8.11</v>
      </c>
      <c r="F7" s="79">
        <v>116594</v>
      </c>
      <c r="G7" s="42"/>
      <c r="H7" s="46" t="s">
        <v>200</v>
      </c>
      <c r="I7" s="76">
        <v>1.95</v>
      </c>
      <c r="J7" s="85">
        <v>-9.7200000000000006</v>
      </c>
      <c r="K7" s="79">
        <v>171520</v>
      </c>
      <c r="L7" s="1"/>
    </row>
    <row r="8" spans="1:14" s="48" customFormat="1" ht="17.100000000000001" customHeight="1">
      <c r="A8" s="42"/>
      <c r="B8" s="42"/>
      <c r="C8" s="46" t="s">
        <v>126</v>
      </c>
      <c r="D8" s="76">
        <v>2.84</v>
      </c>
      <c r="E8" s="84">
        <v>5.19</v>
      </c>
      <c r="F8" s="79">
        <v>238981</v>
      </c>
      <c r="G8" s="42"/>
      <c r="H8" s="46" t="s">
        <v>215</v>
      </c>
      <c r="I8" s="76">
        <v>0.63</v>
      </c>
      <c r="J8" s="85">
        <v>-8.6999999999999993</v>
      </c>
      <c r="K8" s="79">
        <v>13555</v>
      </c>
    </row>
    <row r="9" spans="1:14" s="48" customFormat="1" ht="17.100000000000001" customHeight="1">
      <c r="A9" s="42"/>
      <c r="B9" s="42"/>
      <c r="C9" s="46" t="s">
        <v>179</v>
      </c>
      <c r="D9" s="76">
        <v>0.75</v>
      </c>
      <c r="E9" s="84">
        <v>2.74</v>
      </c>
      <c r="F9" s="91">
        <v>6666</v>
      </c>
      <c r="G9" s="42"/>
      <c r="H9" s="98" t="s">
        <v>289</v>
      </c>
      <c r="I9" s="92">
        <v>0.13</v>
      </c>
      <c r="J9" s="102">
        <v>-7.14</v>
      </c>
      <c r="K9" s="91">
        <v>150000</v>
      </c>
    </row>
    <row r="10" spans="1:14" s="48" customFormat="1" ht="17.100000000000001" customHeight="1">
      <c r="A10" s="42"/>
      <c r="B10" s="42"/>
      <c r="C10" s="46" t="s">
        <v>303</v>
      </c>
      <c r="D10" s="76">
        <v>9.9</v>
      </c>
      <c r="E10" s="84">
        <v>1.02</v>
      </c>
      <c r="F10" s="91">
        <v>1010</v>
      </c>
      <c r="G10" s="42"/>
      <c r="H10" s="98" t="s">
        <v>183</v>
      </c>
      <c r="I10" s="92">
        <v>0.23</v>
      </c>
      <c r="J10" s="102">
        <v>-4.17</v>
      </c>
      <c r="K10" s="91">
        <v>66477844</v>
      </c>
    </row>
    <row r="11" spans="1:14" s="48" customFormat="1" ht="33" customHeight="1">
      <c r="A11" s="42"/>
      <c r="B11" s="42"/>
      <c r="C11" s="157" t="s">
        <v>60</v>
      </c>
      <c r="D11" s="157"/>
      <c r="E11" s="157"/>
      <c r="F11" s="157"/>
      <c r="G11" s="157"/>
      <c r="H11" s="157"/>
      <c r="I11" s="157"/>
      <c r="J11" s="157"/>
      <c r="K11" s="157"/>
    </row>
    <row r="12" spans="1:14" s="48" customFormat="1" ht="33" customHeight="1">
      <c r="A12" s="42"/>
      <c r="B12" s="42"/>
      <c r="C12" s="157"/>
      <c r="D12" s="157"/>
      <c r="E12" s="157"/>
      <c r="F12" s="157"/>
      <c r="G12" s="157"/>
      <c r="H12" s="157"/>
      <c r="I12" s="157"/>
      <c r="J12" s="157"/>
      <c r="K12" s="157"/>
    </row>
    <row r="13" spans="1:14" ht="29.25" customHeight="1">
      <c r="A13" s="42"/>
      <c r="B13" s="42"/>
      <c r="C13" s="156" t="s">
        <v>18</v>
      </c>
      <c r="D13" s="156"/>
      <c r="E13" s="156"/>
      <c r="F13" s="156"/>
      <c r="G13" s="88"/>
      <c r="H13" s="156" t="s">
        <v>7</v>
      </c>
      <c r="I13" s="156"/>
      <c r="J13" s="156"/>
      <c r="K13" s="156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157</v>
      </c>
      <c r="D15" s="76">
        <v>2.0299999999999998</v>
      </c>
      <c r="E15" s="77">
        <v>-0.98</v>
      </c>
      <c r="F15" s="79">
        <v>332413901</v>
      </c>
      <c r="G15" s="1"/>
      <c r="H15" s="98" t="s">
        <v>157</v>
      </c>
      <c r="I15" s="92">
        <v>2.0299999999999998</v>
      </c>
      <c r="J15" s="93">
        <v>-0.98</v>
      </c>
      <c r="K15" s="91">
        <v>676044244.75</v>
      </c>
    </row>
    <row r="16" spans="1:14" ht="17.100000000000001" customHeight="1">
      <c r="A16" s="42"/>
      <c r="B16" s="42"/>
      <c r="C16" s="46" t="s">
        <v>283</v>
      </c>
      <c r="D16" s="76">
        <v>0.11</v>
      </c>
      <c r="E16" s="77">
        <v>0</v>
      </c>
      <c r="F16" s="79">
        <v>313266451</v>
      </c>
      <c r="G16" s="1"/>
      <c r="H16" s="98" t="s">
        <v>175</v>
      </c>
      <c r="I16" s="92">
        <v>15.65</v>
      </c>
      <c r="J16" s="93">
        <v>-0.89</v>
      </c>
      <c r="K16" s="91">
        <v>96132541.359999999</v>
      </c>
    </row>
    <row r="17" spans="1:11" ht="17.100000000000001" customHeight="1">
      <c r="A17" s="42"/>
      <c r="B17" s="42"/>
      <c r="C17" s="46" t="s">
        <v>183</v>
      </c>
      <c r="D17" s="76">
        <v>0.23</v>
      </c>
      <c r="E17" s="77">
        <v>-4.17</v>
      </c>
      <c r="F17" s="79">
        <v>66477844</v>
      </c>
      <c r="G17" s="1"/>
      <c r="H17" s="98" t="s">
        <v>213</v>
      </c>
      <c r="I17" s="92">
        <v>6.2</v>
      </c>
      <c r="J17" s="93">
        <v>-0.48</v>
      </c>
      <c r="K17" s="91">
        <v>74268664.340000004</v>
      </c>
    </row>
    <row r="18" spans="1:11" ht="17.100000000000001" customHeight="1">
      <c r="A18" s="42"/>
      <c r="B18" s="42"/>
      <c r="C18" s="46" t="s">
        <v>242</v>
      </c>
      <c r="D18" s="76">
        <v>0.55000000000000004</v>
      </c>
      <c r="E18" s="77">
        <v>-1.79</v>
      </c>
      <c r="F18" s="79">
        <v>55196838</v>
      </c>
      <c r="G18" s="1"/>
      <c r="H18" s="98" t="s">
        <v>171</v>
      </c>
      <c r="I18" s="92">
        <v>2.84</v>
      </c>
      <c r="J18" s="93">
        <v>-1.39</v>
      </c>
      <c r="K18" s="91">
        <v>65481983.130000003</v>
      </c>
    </row>
    <row r="19" spans="1:11" ht="16.5" customHeight="1">
      <c r="A19" s="42"/>
      <c r="B19" s="42"/>
      <c r="C19" s="46" t="s">
        <v>171</v>
      </c>
      <c r="D19" s="76">
        <v>2.84</v>
      </c>
      <c r="E19" s="77">
        <v>-1.39</v>
      </c>
      <c r="F19" s="79">
        <v>23042532</v>
      </c>
      <c r="G19" s="1"/>
      <c r="H19" s="98" t="s">
        <v>230</v>
      </c>
      <c r="I19" s="92">
        <v>5.14</v>
      </c>
      <c r="J19" s="93">
        <v>-1.72</v>
      </c>
      <c r="K19" s="91">
        <v>57061414.880000003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4"/>
  <sheetViews>
    <sheetView topLeftCell="A22" zoomScale="115" zoomScaleNormal="115" workbookViewId="0">
      <selection activeCell="P45" sqref="P45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171" t="s">
        <v>329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4.1" customHeight="1">
      <c r="A3" s="57"/>
      <c r="B3" s="159" t="s">
        <v>29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1"/>
    </row>
    <row r="4" spans="1:14" ht="14.1" customHeight="1">
      <c r="A4" s="57"/>
      <c r="B4" s="98" t="s">
        <v>228</v>
      </c>
      <c r="C4" s="99" t="s">
        <v>229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6</v>
      </c>
      <c r="M4" s="91">
        <v>5500000</v>
      </c>
      <c r="N4" s="91">
        <v>1705000</v>
      </c>
    </row>
    <row r="5" spans="1:14" ht="14.1" customHeight="1">
      <c r="A5" s="57"/>
      <c r="B5" s="98" t="s">
        <v>171</v>
      </c>
      <c r="C5" s="99" t="s">
        <v>172</v>
      </c>
      <c r="D5" s="92">
        <v>2.88</v>
      </c>
      <c r="E5" s="92">
        <v>2.88</v>
      </c>
      <c r="F5" s="92">
        <v>2.82</v>
      </c>
      <c r="G5" s="92">
        <v>2.84</v>
      </c>
      <c r="H5" s="92">
        <v>2.88</v>
      </c>
      <c r="I5" s="92">
        <v>2.84</v>
      </c>
      <c r="J5" s="92">
        <v>2.88</v>
      </c>
      <c r="K5" s="93">
        <v>-1.39</v>
      </c>
      <c r="L5" s="90">
        <v>71</v>
      </c>
      <c r="M5" s="91">
        <v>23042532</v>
      </c>
      <c r="N5" s="91">
        <v>65481983.130000003</v>
      </c>
    </row>
    <row r="6" spans="1:14" ht="14.1" customHeight="1">
      <c r="A6" s="57"/>
      <c r="B6" s="98" t="s">
        <v>242</v>
      </c>
      <c r="C6" s="99" t="s">
        <v>243</v>
      </c>
      <c r="D6" s="92">
        <v>0.56000000000000005</v>
      </c>
      <c r="E6" s="92">
        <v>0.56000000000000005</v>
      </c>
      <c r="F6" s="92">
        <v>0.55000000000000004</v>
      </c>
      <c r="G6" s="92">
        <v>0.55000000000000004</v>
      </c>
      <c r="H6" s="92">
        <v>0.55000000000000004</v>
      </c>
      <c r="I6" s="92">
        <v>0.55000000000000004</v>
      </c>
      <c r="J6" s="92">
        <v>0.56000000000000005</v>
      </c>
      <c r="K6" s="93">
        <v>-1.79</v>
      </c>
      <c r="L6" s="90">
        <v>13</v>
      </c>
      <c r="M6" s="91">
        <v>55196838</v>
      </c>
      <c r="N6" s="91">
        <v>30358360.899999999</v>
      </c>
    </row>
    <row r="7" spans="1:14" ht="14.1" customHeight="1">
      <c r="A7" s="57"/>
      <c r="B7" s="98" t="s">
        <v>183</v>
      </c>
      <c r="C7" s="99" t="s">
        <v>184</v>
      </c>
      <c r="D7" s="92">
        <v>0.24</v>
      </c>
      <c r="E7" s="92">
        <v>0.24</v>
      </c>
      <c r="F7" s="92">
        <v>0.23</v>
      </c>
      <c r="G7" s="92">
        <v>0.23</v>
      </c>
      <c r="H7" s="92">
        <v>0.24</v>
      </c>
      <c r="I7" s="92">
        <v>0.23</v>
      </c>
      <c r="J7" s="92">
        <v>0.24</v>
      </c>
      <c r="K7" s="93">
        <v>-4.17</v>
      </c>
      <c r="L7" s="90">
        <v>13</v>
      </c>
      <c r="M7" s="91">
        <v>66477844</v>
      </c>
      <c r="N7" s="91">
        <v>15290054.119999999</v>
      </c>
    </row>
    <row r="8" spans="1:14" ht="14.1" customHeight="1">
      <c r="A8" s="57"/>
      <c r="B8" s="98" t="s">
        <v>145</v>
      </c>
      <c r="C8" s="99" t="s">
        <v>144</v>
      </c>
      <c r="D8" s="92">
        <v>0.4</v>
      </c>
      <c r="E8" s="92">
        <v>0.4</v>
      </c>
      <c r="F8" s="92">
        <v>0.39</v>
      </c>
      <c r="G8" s="92">
        <v>0.39</v>
      </c>
      <c r="H8" s="92">
        <v>0.39</v>
      </c>
      <c r="I8" s="92">
        <v>0.39</v>
      </c>
      <c r="J8" s="92">
        <v>0.39</v>
      </c>
      <c r="K8" s="93">
        <v>0</v>
      </c>
      <c r="L8" s="90">
        <v>8</v>
      </c>
      <c r="M8" s="91">
        <v>17202400</v>
      </c>
      <c r="N8" s="91">
        <v>6760960</v>
      </c>
    </row>
    <row r="9" spans="1:14" ht="14.1" customHeight="1">
      <c r="A9" s="57"/>
      <c r="B9" s="98" t="s">
        <v>275</v>
      </c>
      <c r="C9" s="99" t="s">
        <v>276</v>
      </c>
      <c r="D9" s="92">
        <v>0.97</v>
      </c>
      <c r="E9" s="92">
        <v>0.97</v>
      </c>
      <c r="F9" s="92">
        <v>0.97</v>
      </c>
      <c r="G9" s="92">
        <v>0.97</v>
      </c>
      <c r="H9" s="92">
        <v>0.98</v>
      </c>
      <c r="I9" s="92">
        <v>0.97</v>
      </c>
      <c r="J9" s="92">
        <v>0.97</v>
      </c>
      <c r="K9" s="93">
        <v>0</v>
      </c>
      <c r="L9" s="90">
        <v>3</v>
      </c>
      <c r="M9" s="91">
        <v>71733</v>
      </c>
      <c r="N9" s="91">
        <v>69581.009999999995</v>
      </c>
    </row>
    <row r="10" spans="1:14" ht="14.1" customHeight="1">
      <c r="A10" s="57"/>
      <c r="B10" s="98" t="s">
        <v>121</v>
      </c>
      <c r="C10" s="99" t="s">
        <v>122</v>
      </c>
      <c r="D10" s="92">
        <v>0.08</v>
      </c>
      <c r="E10" s="92">
        <v>0.08</v>
      </c>
      <c r="F10" s="92">
        <v>7.0000000000000007E-2</v>
      </c>
      <c r="G10" s="92">
        <v>0.08</v>
      </c>
      <c r="H10" s="92">
        <v>7.0000000000000007E-2</v>
      </c>
      <c r="I10" s="92">
        <v>7.0000000000000007E-2</v>
      </c>
      <c r="J10" s="92">
        <v>7.0000000000000007E-2</v>
      </c>
      <c r="K10" s="93">
        <v>0</v>
      </c>
      <c r="L10" s="90">
        <v>3</v>
      </c>
      <c r="M10" s="91">
        <v>1290</v>
      </c>
      <c r="N10" s="91">
        <v>100.3</v>
      </c>
    </row>
    <row r="11" spans="1:14" ht="14.1" customHeight="1">
      <c r="A11" s="57"/>
      <c r="B11" s="98" t="s">
        <v>217</v>
      </c>
      <c r="C11" s="99" t="s">
        <v>218</v>
      </c>
      <c r="D11" s="92">
        <v>1.1000000000000001</v>
      </c>
      <c r="E11" s="92">
        <v>1.1000000000000001</v>
      </c>
      <c r="F11" s="92">
        <v>1.1000000000000001</v>
      </c>
      <c r="G11" s="92">
        <v>1.1000000000000001</v>
      </c>
      <c r="H11" s="92">
        <v>1.08</v>
      </c>
      <c r="I11" s="92">
        <v>1.1000000000000001</v>
      </c>
      <c r="J11" s="92">
        <v>1.1000000000000001</v>
      </c>
      <c r="K11" s="93">
        <v>0</v>
      </c>
      <c r="L11" s="90">
        <v>3</v>
      </c>
      <c r="M11" s="91">
        <v>501308</v>
      </c>
      <c r="N11" s="91">
        <v>551438.80000000005</v>
      </c>
    </row>
    <row r="12" spans="1:14" ht="14.1" customHeight="1">
      <c r="A12" s="57"/>
      <c r="B12" s="98" t="s">
        <v>157</v>
      </c>
      <c r="C12" s="99" t="s">
        <v>158</v>
      </c>
      <c r="D12" s="92">
        <v>2.0499999999999998</v>
      </c>
      <c r="E12" s="92">
        <v>2.0499999999999998</v>
      </c>
      <c r="F12" s="92">
        <v>2.02</v>
      </c>
      <c r="G12" s="92">
        <v>2.0299999999999998</v>
      </c>
      <c r="H12" s="92">
        <v>2.0499999999999998</v>
      </c>
      <c r="I12" s="92">
        <v>2.0299999999999998</v>
      </c>
      <c r="J12" s="92">
        <v>2.0499999999999998</v>
      </c>
      <c r="K12" s="93">
        <v>-0.98</v>
      </c>
      <c r="L12" s="90">
        <v>190</v>
      </c>
      <c r="M12" s="91">
        <v>332413901</v>
      </c>
      <c r="N12" s="91">
        <v>676044244.75</v>
      </c>
    </row>
    <row r="13" spans="1:14" ht="14.1" customHeight="1">
      <c r="A13" s="57"/>
      <c r="B13" s="98" t="s">
        <v>169</v>
      </c>
      <c r="C13" s="99" t="s">
        <v>170</v>
      </c>
      <c r="D13" s="92">
        <v>3.78</v>
      </c>
      <c r="E13" s="92">
        <v>3.78</v>
      </c>
      <c r="F13" s="92">
        <v>3.75</v>
      </c>
      <c r="G13" s="92">
        <v>3.77</v>
      </c>
      <c r="H13" s="92">
        <v>3.77</v>
      </c>
      <c r="I13" s="92">
        <v>3.76</v>
      </c>
      <c r="J13" s="92">
        <v>3.78</v>
      </c>
      <c r="K13" s="93">
        <v>-0.53</v>
      </c>
      <c r="L13" s="90">
        <v>61</v>
      </c>
      <c r="M13" s="91">
        <v>4883623</v>
      </c>
      <c r="N13" s="91">
        <v>18399718.82</v>
      </c>
    </row>
    <row r="14" spans="1:14" ht="14.1" customHeight="1">
      <c r="A14" s="57"/>
      <c r="B14" s="169" t="s">
        <v>86</v>
      </c>
      <c r="C14" s="170"/>
      <c r="D14" s="162"/>
      <c r="E14" s="163"/>
      <c r="F14" s="163"/>
      <c r="G14" s="163"/>
      <c r="H14" s="163"/>
      <c r="I14" s="163"/>
      <c r="J14" s="163"/>
      <c r="K14" s="164"/>
      <c r="L14" s="59">
        <f>SUM(L4:L13)</f>
        <v>371</v>
      </c>
      <c r="M14" s="59">
        <f>SUM(M4:M13)</f>
        <v>505291469</v>
      </c>
      <c r="N14" s="60">
        <f>SUM(N4:N13)</f>
        <v>814661441.83000004</v>
      </c>
    </row>
    <row r="15" spans="1:14" ht="14.1" customHeight="1">
      <c r="A15" s="57"/>
      <c r="B15" s="159" t="s">
        <v>30</v>
      </c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1"/>
    </row>
    <row r="16" spans="1:14" ht="14.1" customHeight="1">
      <c r="A16" s="57"/>
      <c r="B16" s="46" t="s">
        <v>175</v>
      </c>
      <c r="C16" s="58" t="s">
        <v>176</v>
      </c>
      <c r="D16" s="62">
        <v>15.79</v>
      </c>
      <c r="E16" s="76">
        <v>15.79</v>
      </c>
      <c r="F16" s="76">
        <v>15.65</v>
      </c>
      <c r="G16" s="76">
        <v>15.68</v>
      </c>
      <c r="H16" s="76">
        <v>15.84</v>
      </c>
      <c r="I16" s="76">
        <v>15.65</v>
      </c>
      <c r="J16" s="76">
        <v>15.79</v>
      </c>
      <c r="K16" s="77">
        <v>-0.89</v>
      </c>
      <c r="L16" s="78">
        <v>104</v>
      </c>
      <c r="M16" s="79">
        <v>6132211</v>
      </c>
      <c r="N16" s="79">
        <v>96132541.359999999</v>
      </c>
    </row>
    <row r="17" spans="1:14" ht="14.1" customHeight="1">
      <c r="A17" s="57"/>
      <c r="B17" s="46" t="s">
        <v>287</v>
      </c>
      <c r="C17" s="58" t="s">
        <v>288</v>
      </c>
      <c r="D17" s="62">
        <v>3.8</v>
      </c>
      <c r="E17" s="76">
        <v>3.8</v>
      </c>
      <c r="F17" s="76">
        <v>3.75</v>
      </c>
      <c r="G17" s="76">
        <v>3.76</v>
      </c>
      <c r="H17" s="76">
        <v>3.79</v>
      </c>
      <c r="I17" s="76">
        <v>3.75</v>
      </c>
      <c r="J17" s="76">
        <v>3.8</v>
      </c>
      <c r="K17" s="77">
        <v>-1.32</v>
      </c>
      <c r="L17" s="78">
        <v>13</v>
      </c>
      <c r="M17" s="79">
        <v>171586</v>
      </c>
      <c r="N17" s="79">
        <v>644697.5</v>
      </c>
    </row>
    <row r="18" spans="1:14" ht="14.1" customHeight="1">
      <c r="A18" s="57"/>
      <c r="B18" s="169" t="s">
        <v>108</v>
      </c>
      <c r="C18" s="170"/>
      <c r="D18" s="162"/>
      <c r="E18" s="163"/>
      <c r="F18" s="163"/>
      <c r="G18" s="163"/>
      <c r="H18" s="163"/>
      <c r="I18" s="163"/>
      <c r="J18" s="163"/>
      <c r="K18" s="164"/>
      <c r="L18" s="61">
        <f>SUM(L16:L17)</f>
        <v>117</v>
      </c>
      <c r="M18" s="59">
        <f>SUM(M16:M17)</f>
        <v>6303797</v>
      </c>
      <c r="N18" s="47">
        <f>SUM(N16:N17)</f>
        <v>96777238.859999999</v>
      </c>
    </row>
    <row r="19" spans="1:14" ht="14.1" customHeight="1">
      <c r="A19" s="57"/>
      <c r="B19" s="159" t="s">
        <v>91</v>
      </c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1"/>
    </row>
    <row r="20" spans="1:14" ht="14.1" customHeight="1">
      <c r="A20" s="57"/>
      <c r="B20" s="46" t="s">
        <v>159</v>
      </c>
      <c r="C20" s="58" t="s">
        <v>160</v>
      </c>
      <c r="D20" s="76">
        <v>0.85</v>
      </c>
      <c r="E20" s="92">
        <v>0.85</v>
      </c>
      <c r="F20" s="92">
        <v>0.84</v>
      </c>
      <c r="G20" s="92">
        <v>0.84</v>
      </c>
      <c r="H20" s="92">
        <v>0.86</v>
      </c>
      <c r="I20" s="76">
        <v>0.84</v>
      </c>
      <c r="J20" s="76">
        <v>0.86</v>
      </c>
      <c r="K20" s="77">
        <v>-2.33</v>
      </c>
      <c r="L20" s="78">
        <v>6</v>
      </c>
      <c r="M20" s="79">
        <v>1004075</v>
      </c>
      <c r="N20" s="79">
        <v>848425.18</v>
      </c>
    </row>
    <row r="21" spans="1:14" ht="14.1" customHeight="1">
      <c r="A21" s="57"/>
      <c r="B21" s="46" t="s">
        <v>179</v>
      </c>
      <c r="C21" s="58" t="s">
        <v>180</v>
      </c>
      <c r="D21" s="76">
        <v>0.75</v>
      </c>
      <c r="E21" s="92">
        <v>0.75</v>
      </c>
      <c r="F21" s="92">
        <v>0.75</v>
      </c>
      <c r="G21" s="92">
        <v>0.75</v>
      </c>
      <c r="H21" s="92">
        <v>0.73</v>
      </c>
      <c r="I21" s="76">
        <v>0.75</v>
      </c>
      <c r="J21" s="76">
        <v>0.73</v>
      </c>
      <c r="K21" s="77">
        <v>2.74</v>
      </c>
      <c r="L21" s="78">
        <v>1</v>
      </c>
      <c r="M21" s="79">
        <v>6666</v>
      </c>
      <c r="N21" s="79">
        <v>4999.5</v>
      </c>
    </row>
    <row r="22" spans="1:14" ht="14.1" customHeight="1">
      <c r="A22" s="57"/>
      <c r="B22" s="169" t="s">
        <v>272</v>
      </c>
      <c r="C22" s="170"/>
      <c r="D22" s="162"/>
      <c r="E22" s="163"/>
      <c r="F22" s="163"/>
      <c r="G22" s="163"/>
      <c r="H22" s="163"/>
      <c r="I22" s="163"/>
      <c r="J22" s="163"/>
      <c r="K22" s="164"/>
      <c r="L22" s="64">
        <f>SUM(L20:L21)</f>
        <v>7</v>
      </c>
      <c r="M22" s="64">
        <f>SUM(M20:M21)</f>
        <v>1010741</v>
      </c>
      <c r="N22" s="64">
        <f>SUM(N20:N21)</f>
        <v>853424.68</v>
      </c>
    </row>
    <row r="23" spans="1:14" ht="14.1" customHeight="1">
      <c r="A23" s="57"/>
      <c r="B23" s="159" t="s">
        <v>81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1"/>
    </row>
    <row r="24" spans="1:14" ht="14.1" customHeight="1">
      <c r="A24" s="57"/>
      <c r="B24" s="98" t="s">
        <v>134</v>
      </c>
      <c r="C24" s="99" t="s">
        <v>135</v>
      </c>
      <c r="D24" s="92">
        <v>19.600000000000001</v>
      </c>
      <c r="E24" s="92">
        <v>19.62</v>
      </c>
      <c r="F24" s="92">
        <v>19.5</v>
      </c>
      <c r="G24" s="92">
        <v>19.57</v>
      </c>
      <c r="H24" s="92">
        <v>19.71</v>
      </c>
      <c r="I24" s="92">
        <v>19.5</v>
      </c>
      <c r="J24" s="92">
        <v>19.600000000000001</v>
      </c>
      <c r="K24" s="93">
        <v>-0.51</v>
      </c>
      <c r="L24" s="90">
        <v>13</v>
      </c>
      <c r="M24" s="91">
        <v>454400</v>
      </c>
      <c r="N24" s="91">
        <v>8892328</v>
      </c>
    </row>
    <row r="25" spans="1:14" ht="14.1" customHeight="1">
      <c r="A25" s="57"/>
      <c r="B25" s="98" t="s">
        <v>128</v>
      </c>
      <c r="C25" s="99" t="s">
        <v>129</v>
      </c>
      <c r="D25" s="92">
        <v>4.3</v>
      </c>
      <c r="E25" s="92">
        <v>4.3</v>
      </c>
      <c r="F25" s="92">
        <v>4.3</v>
      </c>
      <c r="G25" s="92">
        <v>4.3</v>
      </c>
      <c r="H25" s="92">
        <v>4.45</v>
      </c>
      <c r="I25" s="92">
        <v>4.3</v>
      </c>
      <c r="J25" s="92">
        <v>4.45</v>
      </c>
      <c r="K25" s="93">
        <v>-3.37</v>
      </c>
      <c r="L25" s="90">
        <v>1</v>
      </c>
      <c r="M25" s="91">
        <v>10000</v>
      </c>
      <c r="N25" s="91">
        <v>43000</v>
      </c>
    </row>
    <row r="26" spans="1:14" ht="14.1" customHeight="1">
      <c r="A26" s="57"/>
      <c r="B26" s="98" t="s">
        <v>93</v>
      </c>
      <c r="C26" s="99" t="s">
        <v>92</v>
      </c>
      <c r="D26" s="92">
        <v>6.75</v>
      </c>
      <c r="E26" s="92">
        <v>8</v>
      </c>
      <c r="F26" s="92">
        <v>6.75</v>
      </c>
      <c r="G26" s="92">
        <v>7.79</v>
      </c>
      <c r="H26" s="92">
        <v>6.46</v>
      </c>
      <c r="I26" s="92">
        <v>8</v>
      </c>
      <c r="J26" s="92">
        <v>6.46</v>
      </c>
      <c r="K26" s="93">
        <v>23.84</v>
      </c>
      <c r="L26" s="90">
        <v>7</v>
      </c>
      <c r="M26" s="91">
        <v>3148000</v>
      </c>
      <c r="N26" s="91">
        <v>24529000</v>
      </c>
    </row>
    <row r="27" spans="1:14" ht="14.1" customHeight="1">
      <c r="A27" s="57"/>
      <c r="B27" s="98" t="s">
        <v>277</v>
      </c>
      <c r="C27" s="99" t="s">
        <v>278</v>
      </c>
      <c r="D27" s="92">
        <v>2.5499999999999998</v>
      </c>
      <c r="E27" s="92">
        <v>2.5499999999999998</v>
      </c>
      <c r="F27" s="92">
        <v>2.2999999999999998</v>
      </c>
      <c r="G27" s="92">
        <v>2.34</v>
      </c>
      <c r="H27" s="92">
        <v>2.5499999999999998</v>
      </c>
      <c r="I27" s="92">
        <v>2.2999999999999998</v>
      </c>
      <c r="J27" s="92">
        <v>2.5499999999999998</v>
      </c>
      <c r="K27" s="93">
        <v>-9.8000000000000007</v>
      </c>
      <c r="L27" s="90">
        <v>24</v>
      </c>
      <c r="M27" s="91">
        <v>4124259</v>
      </c>
      <c r="N27" s="91">
        <v>9632468.9000000004</v>
      </c>
    </row>
    <row r="28" spans="1:14" ht="14.1" customHeight="1">
      <c r="A28" s="57"/>
      <c r="B28" s="98" t="s">
        <v>215</v>
      </c>
      <c r="C28" s="99" t="s">
        <v>216</v>
      </c>
      <c r="D28" s="92">
        <v>0.63</v>
      </c>
      <c r="E28" s="92">
        <v>0.63</v>
      </c>
      <c r="F28" s="92">
        <v>0.63</v>
      </c>
      <c r="G28" s="92">
        <v>0.63</v>
      </c>
      <c r="H28" s="92">
        <v>0.69</v>
      </c>
      <c r="I28" s="92">
        <v>0.63</v>
      </c>
      <c r="J28" s="92">
        <v>0.69</v>
      </c>
      <c r="K28" s="93">
        <v>-8.6999999999999993</v>
      </c>
      <c r="L28" s="90">
        <v>1</v>
      </c>
      <c r="M28" s="91">
        <v>13555</v>
      </c>
      <c r="N28" s="91">
        <v>8539.65</v>
      </c>
    </row>
    <row r="29" spans="1:14" ht="14.1" customHeight="1">
      <c r="A29" s="57"/>
      <c r="B29" s="169" t="s">
        <v>87</v>
      </c>
      <c r="C29" s="170"/>
      <c r="D29" s="162"/>
      <c r="E29" s="163"/>
      <c r="F29" s="163"/>
      <c r="G29" s="163"/>
      <c r="H29" s="163"/>
      <c r="I29" s="163"/>
      <c r="J29" s="163"/>
      <c r="K29" s="164"/>
      <c r="L29" s="64">
        <f>SUM(L24:L28)</f>
        <v>46</v>
      </c>
      <c r="M29" s="64">
        <f>SUM(M24:M28)</f>
        <v>7750214</v>
      </c>
      <c r="N29" s="64">
        <f>SUM(N24:N28)</f>
        <v>43105336.549999997</v>
      </c>
    </row>
    <row r="30" spans="1:14" ht="14.1" customHeight="1">
      <c r="A30" s="57"/>
      <c r="B30" s="159" t="s">
        <v>82</v>
      </c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1"/>
    </row>
    <row r="31" spans="1:14" ht="14.1" customHeight="1">
      <c r="A31" s="57"/>
      <c r="B31" s="46" t="s">
        <v>213</v>
      </c>
      <c r="C31" s="58" t="s">
        <v>214</v>
      </c>
      <c r="D31" s="62">
        <v>6.24</v>
      </c>
      <c r="E31" s="76">
        <v>6.24</v>
      </c>
      <c r="F31" s="76">
        <v>6.1</v>
      </c>
      <c r="G31" s="76">
        <v>6.18</v>
      </c>
      <c r="H31" s="76">
        <v>6.2</v>
      </c>
      <c r="I31" s="76">
        <v>6.2</v>
      </c>
      <c r="J31" s="76">
        <v>6.23</v>
      </c>
      <c r="K31" s="77">
        <v>-0.48</v>
      </c>
      <c r="L31" s="78">
        <v>74</v>
      </c>
      <c r="M31" s="79">
        <v>12010375</v>
      </c>
      <c r="N31" s="79">
        <v>74268664.340000004</v>
      </c>
    </row>
    <row r="32" spans="1:14" ht="14.1" customHeight="1">
      <c r="A32" s="57"/>
      <c r="B32" s="46" t="s">
        <v>200</v>
      </c>
      <c r="C32" s="58" t="s">
        <v>199</v>
      </c>
      <c r="D32" s="62">
        <v>2.0499999999999998</v>
      </c>
      <c r="E32" s="76">
        <v>2.0499999999999998</v>
      </c>
      <c r="F32" s="76">
        <v>1.95</v>
      </c>
      <c r="G32" s="76">
        <v>2.0299999999999998</v>
      </c>
      <c r="H32" s="76">
        <v>2.19</v>
      </c>
      <c r="I32" s="76">
        <v>1.95</v>
      </c>
      <c r="J32" s="76">
        <v>2.16</v>
      </c>
      <c r="K32" s="77">
        <v>-9.7200000000000006</v>
      </c>
      <c r="L32" s="78">
        <v>4</v>
      </c>
      <c r="M32" s="79">
        <v>171520</v>
      </c>
      <c r="N32" s="79">
        <v>348003.12</v>
      </c>
    </row>
    <row r="33" spans="1:14" ht="14.1" customHeight="1">
      <c r="A33" s="57"/>
      <c r="B33" s="46" t="s">
        <v>270</v>
      </c>
      <c r="C33" s="58" t="s">
        <v>271</v>
      </c>
      <c r="D33" s="76">
        <v>1.1200000000000001</v>
      </c>
      <c r="E33" s="92">
        <v>1.1200000000000001</v>
      </c>
      <c r="F33" s="92">
        <v>1.1200000000000001</v>
      </c>
      <c r="G33" s="92">
        <v>1.1200000000000001</v>
      </c>
      <c r="H33" s="92">
        <v>1.1200000000000001</v>
      </c>
      <c r="I33" s="92">
        <v>1.1200000000000001</v>
      </c>
      <c r="J33" s="92">
        <v>1.1200000000000001</v>
      </c>
      <c r="K33" s="93">
        <v>0</v>
      </c>
      <c r="L33" s="90">
        <v>4</v>
      </c>
      <c r="M33" s="91">
        <v>280</v>
      </c>
      <c r="N33" s="91">
        <v>313.60000000000002</v>
      </c>
    </row>
    <row r="34" spans="1:14" ht="14.1" customHeight="1">
      <c r="A34" s="57"/>
      <c r="B34" s="46" t="s">
        <v>126</v>
      </c>
      <c r="C34" s="58" t="s">
        <v>127</v>
      </c>
      <c r="D34" s="76">
        <v>2.8</v>
      </c>
      <c r="E34" s="92">
        <v>2.84</v>
      </c>
      <c r="F34" s="92">
        <v>2.8</v>
      </c>
      <c r="G34" s="92">
        <v>2.81</v>
      </c>
      <c r="H34" s="92">
        <v>2.7</v>
      </c>
      <c r="I34" s="92">
        <v>2.84</v>
      </c>
      <c r="J34" s="92">
        <v>2.7</v>
      </c>
      <c r="K34" s="93">
        <v>5.19</v>
      </c>
      <c r="L34" s="90">
        <v>5</v>
      </c>
      <c r="M34" s="91">
        <v>238981</v>
      </c>
      <c r="N34" s="91">
        <v>671146.8</v>
      </c>
    </row>
    <row r="35" spans="1:14" ht="14.1" customHeight="1">
      <c r="A35" s="57"/>
      <c r="B35" s="46" t="s">
        <v>221</v>
      </c>
      <c r="C35" s="58" t="s">
        <v>222</v>
      </c>
      <c r="D35" s="62">
        <v>2.2599999999999998</v>
      </c>
      <c r="E35" s="76">
        <v>2.2599999999999998</v>
      </c>
      <c r="F35" s="76">
        <v>2.25</v>
      </c>
      <c r="G35" s="76">
        <v>2.25</v>
      </c>
      <c r="H35" s="76">
        <v>2.2599999999999998</v>
      </c>
      <c r="I35" s="76">
        <v>2.25</v>
      </c>
      <c r="J35" s="76">
        <v>2.2599999999999998</v>
      </c>
      <c r="K35" s="77">
        <v>-0.44</v>
      </c>
      <c r="L35" s="78">
        <v>18</v>
      </c>
      <c r="M35" s="79">
        <v>5032106</v>
      </c>
      <c r="N35" s="79">
        <v>11322559.560000001</v>
      </c>
    </row>
    <row r="36" spans="1:14" ht="14.1" customHeight="1">
      <c r="A36" s="57"/>
      <c r="B36" s="46" t="s">
        <v>281</v>
      </c>
      <c r="C36" s="58" t="s">
        <v>282</v>
      </c>
      <c r="D36" s="62">
        <v>2.25</v>
      </c>
      <c r="E36" s="76">
        <v>2.25</v>
      </c>
      <c r="F36" s="76">
        <v>2.19</v>
      </c>
      <c r="G36" s="76">
        <v>2.19</v>
      </c>
      <c r="H36" s="76">
        <v>2.2599999999999998</v>
      </c>
      <c r="I36" s="76">
        <v>2.25</v>
      </c>
      <c r="J36" s="76">
        <v>2.2999999999999998</v>
      </c>
      <c r="K36" s="77">
        <v>-2.17</v>
      </c>
      <c r="L36" s="78">
        <v>7</v>
      </c>
      <c r="M36" s="79">
        <v>632000</v>
      </c>
      <c r="N36" s="79">
        <v>1387007</v>
      </c>
    </row>
    <row r="37" spans="1:14" ht="14.1" customHeight="1">
      <c r="A37" s="57"/>
      <c r="B37" s="169" t="s">
        <v>88</v>
      </c>
      <c r="C37" s="170"/>
      <c r="D37" s="162"/>
      <c r="E37" s="163"/>
      <c r="F37" s="163"/>
      <c r="G37" s="163"/>
      <c r="H37" s="163"/>
      <c r="I37" s="163"/>
      <c r="J37" s="163"/>
      <c r="K37" s="164"/>
      <c r="L37" s="64">
        <f>SUM(L31:L36)</f>
        <v>112</v>
      </c>
      <c r="M37" s="64">
        <f>SUM(M31:M36)</f>
        <v>18085262</v>
      </c>
      <c r="N37" s="64">
        <f>SUM(N31:N36)</f>
        <v>87997694.420000002</v>
      </c>
    </row>
    <row r="38" spans="1:14" ht="14.1" customHeight="1">
      <c r="A38" s="57"/>
      <c r="B38" s="159" t="s">
        <v>31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1"/>
    </row>
    <row r="39" spans="1:14" ht="14.1" customHeight="1">
      <c r="A39" s="57"/>
      <c r="B39" s="46" t="s">
        <v>259</v>
      </c>
      <c r="C39" s="58" t="s">
        <v>260</v>
      </c>
      <c r="D39" s="92">
        <v>12.25</v>
      </c>
      <c r="E39" s="92">
        <v>12.25</v>
      </c>
      <c r="F39" s="92">
        <v>12.25</v>
      </c>
      <c r="G39" s="92">
        <v>12.25</v>
      </c>
      <c r="H39" s="92">
        <v>12.25</v>
      </c>
      <c r="I39" s="92">
        <v>12.25</v>
      </c>
      <c r="J39" s="92">
        <v>12.25</v>
      </c>
      <c r="K39" s="93">
        <v>0</v>
      </c>
      <c r="L39" s="90">
        <v>2</v>
      </c>
      <c r="M39" s="91">
        <v>20308</v>
      </c>
      <c r="N39" s="91">
        <v>248773</v>
      </c>
    </row>
    <row r="40" spans="1:14" ht="14.1" customHeight="1">
      <c r="A40" s="57"/>
      <c r="B40" s="46" t="s">
        <v>211</v>
      </c>
      <c r="C40" s="58" t="s">
        <v>212</v>
      </c>
      <c r="D40" s="92">
        <v>55.5</v>
      </c>
      <c r="E40" s="92">
        <v>60</v>
      </c>
      <c r="F40" s="92">
        <v>55.5</v>
      </c>
      <c r="G40" s="92">
        <v>57.97</v>
      </c>
      <c r="H40" s="92">
        <v>55.5</v>
      </c>
      <c r="I40" s="92">
        <v>60</v>
      </c>
      <c r="J40" s="92">
        <v>55.5</v>
      </c>
      <c r="K40" s="93">
        <v>8.11</v>
      </c>
      <c r="L40" s="90">
        <v>18</v>
      </c>
      <c r="M40" s="91">
        <v>116594</v>
      </c>
      <c r="N40" s="91">
        <v>6759321</v>
      </c>
    </row>
    <row r="41" spans="1:14" ht="14.1" customHeight="1">
      <c r="A41" s="57"/>
      <c r="B41" s="169" t="s">
        <v>89</v>
      </c>
      <c r="C41" s="170"/>
      <c r="D41" s="162"/>
      <c r="E41" s="163"/>
      <c r="F41" s="163"/>
      <c r="G41" s="163"/>
      <c r="H41" s="163"/>
      <c r="I41" s="163"/>
      <c r="J41" s="163"/>
      <c r="K41" s="164"/>
      <c r="L41" s="63">
        <f>SUM(L39:L40)</f>
        <v>20</v>
      </c>
      <c r="M41" s="60">
        <f>SUM(M39:M40)</f>
        <v>136902</v>
      </c>
      <c r="N41" s="60">
        <f>SUM(N39:N40)</f>
        <v>7008094</v>
      </c>
    </row>
    <row r="42" spans="1:14" ht="14.1" customHeight="1">
      <c r="A42" s="57"/>
      <c r="B42" s="159" t="s">
        <v>83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1"/>
    </row>
    <row r="43" spans="1:14" ht="14.1" customHeight="1">
      <c r="A43" s="57"/>
      <c r="B43" s="46" t="s">
        <v>130</v>
      </c>
      <c r="C43" s="58" t="s">
        <v>131</v>
      </c>
      <c r="D43" s="92">
        <v>2.08</v>
      </c>
      <c r="E43" s="92">
        <v>2.08</v>
      </c>
      <c r="F43" s="92">
        <v>2.08</v>
      </c>
      <c r="G43" s="92">
        <v>2.08</v>
      </c>
      <c r="H43" s="92">
        <v>2.11</v>
      </c>
      <c r="I43" s="92">
        <v>2.08</v>
      </c>
      <c r="J43" s="92">
        <v>2.11</v>
      </c>
      <c r="K43" s="93">
        <v>-1.42</v>
      </c>
      <c r="L43" s="90">
        <v>2</v>
      </c>
      <c r="M43" s="91">
        <v>7002567</v>
      </c>
      <c r="N43" s="91">
        <v>14565339.359999999</v>
      </c>
    </row>
    <row r="44" spans="1:14" ht="14.1" customHeight="1">
      <c r="A44" s="57"/>
      <c r="B44" s="46" t="s">
        <v>279</v>
      </c>
      <c r="C44" s="58" t="s">
        <v>280</v>
      </c>
      <c r="D44" s="92">
        <v>4.7</v>
      </c>
      <c r="E44" s="92">
        <v>4.7</v>
      </c>
      <c r="F44" s="92">
        <v>4.6500000000000004</v>
      </c>
      <c r="G44" s="92">
        <v>4.66</v>
      </c>
      <c r="H44" s="92">
        <v>4.7</v>
      </c>
      <c r="I44" s="92">
        <v>4.6500000000000004</v>
      </c>
      <c r="J44" s="92">
        <v>4.7</v>
      </c>
      <c r="K44" s="93">
        <v>-1.06</v>
      </c>
      <c r="L44" s="90">
        <v>8</v>
      </c>
      <c r="M44" s="91">
        <v>1003130</v>
      </c>
      <c r="N44" s="91">
        <v>4677211</v>
      </c>
    </row>
    <row r="45" spans="1:14" ht="14.1" customHeight="1">
      <c r="A45" s="57"/>
      <c r="B45" s="46" t="s">
        <v>181</v>
      </c>
      <c r="C45" s="58" t="s">
        <v>182</v>
      </c>
      <c r="D45" s="92">
        <v>5.6</v>
      </c>
      <c r="E45" s="92">
        <v>5.6</v>
      </c>
      <c r="F45" s="92">
        <v>5.6</v>
      </c>
      <c r="G45" s="92">
        <v>5.6</v>
      </c>
      <c r="H45" s="92">
        <v>5.6</v>
      </c>
      <c r="I45" s="92">
        <v>5.6</v>
      </c>
      <c r="J45" s="92">
        <v>5.6</v>
      </c>
      <c r="K45" s="93">
        <v>0</v>
      </c>
      <c r="L45" s="90">
        <v>1</v>
      </c>
      <c r="M45" s="91">
        <v>100</v>
      </c>
      <c r="N45" s="91">
        <v>560</v>
      </c>
    </row>
    <row r="46" spans="1:14" ht="14.1" customHeight="1">
      <c r="A46" s="57"/>
      <c r="B46" s="169" t="s">
        <v>223</v>
      </c>
      <c r="C46" s="170"/>
      <c r="D46" s="162"/>
      <c r="E46" s="163"/>
      <c r="F46" s="163"/>
      <c r="G46" s="163"/>
      <c r="H46" s="163"/>
      <c r="I46" s="163"/>
      <c r="J46" s="163"/>
      <c r="K46" s="164"/>
      <c r="L46" s="91">
        <f>SUM(L43:L45)</f>
        <v>11</v>
      </c>
      <c r="M46" s="91">
        <f>SUM(M43:M45)</f>
        <v>8005797</v>
      </c>
      <c r="N46" s="91">
        <f>SUM(N43:N45)</f>
        <v>19243110.359999999</v>
      </c>
    </row>
    <row r="47" spans="1:14" s="51" customFormat="1" ht="14.1" customHeight="1">
      <c r="B47" s="65" t="s">
        <v>32</v>
      </c>
      <c r="C47" s="165"/>
      <c r="D47" s="166"/>
      <c r="E47" s="166"/>
      <c r="F47" s="166"/>
      <c r="G47" s="166"/>
      <c r="H47" s="166"/>
      <c r="I47" s="166"/>
      <c r="J47" s="166"/>
      <c r="K47" s="167"/>
      <c r="L47" s="66">
        <f>L41+L37+L29+L18+L14+L46+L22</f>
        <v>684</v>
      </c>
      <c r="M47" s="66">
        <f>M41+M37+M29+M18+M14+M46+M22</f>
        <v>546584182</v>
      </c>
      <c r="N47" s="66">
        <f>N41+N37+N29+N18+N14+N46+N22</f>
        <v>1069646340.7</v>
      </c>
    </row>
    <row r="48" spans="1:14" s="51" customFormat="1" ht="37.5" customHeight="1">
      <c r="A48" s="50"/>
      <c r="B48" s="171" t="s">
        <v>328</v>
      </c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3"/>
    </row>
    <row r="49" spans="1:14" s="51" customFormat="1" ht="48" customHeight="1">
      <c r="B49" s="52" t="s">
        <v>15</v>
      </c>
      <c r="C49" s="53" t="s">
        <v>20</v>
      </c>
      <c r="D49" s="53" t="s">
        <v>21</v>
      </c>
      <c r="E49" s="53" t="s">
        <v>22</v>
      </c>
      <c r="F49" s="53" t="s">
        <v>23</v>
      </c>
      <c r="G49" s="53" t="s">
        <v>24</v>
      </c>
      <c r="H49" s="53" t="s">
        <v>25</v>
      </c>
      <c r="I49" s="53" t="s">
        <v>19</v>
      </c>
      <c r="J49" s="53" t="s">
        <v>26</v>
      </c>
      <c r="K49" s="54" t="s">
        <v>27</v>
      </c>
      <c r="L49" s="55" t="s">
        <v>28</v>
      </c>
      <c r="M49" s="55" t="s">
        <v>18</v>
      </c>
      <c r="N49" s="56" t="s">
        <v>7</v>
      </c>
    </row>
    <row r="50" spans="1:14" ht="12.95" customHeight="1">
      <c r="A50" s="57"/>
      <c r="B50" s="159" t="s">
        <v>29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1"/>
    </row>
    <row r="51" spans="1:14" ht="12.95" customHeight="1">
      <c r="A51" s="57"/>
      <c r="B51" s="98" t="s">
        <v>283</v>
      </c>
      <c r="C51" s="99" t="s">
        <v>284</v>
      </c>
      <c r="D51" s="92">
        <v>0.12</v>
      </c>
      <c r="E51" s="92">
        <v>0.13</v>
      </c>
      <c r="F51" s="92">
        <v>0.1</v>
      </c>
      <c r="G51" s="92">
        <v>0.11</v>
      </c>
      <c r="H51" s="92">
        <v>0.11</v>
      </c>
      <c r="I51" s="92">
        <v>0.11</v>
      </c>
      <c r="J51" s="92">
        <v>0.11</v>
      </c>
      <c r="K51" s="93">
        <v>0</v>
      </c>
      <c r="L51" s="90">
        <v>19</v>
      </c>
      <c r="M51" s="91">
        <v>313266451</v>
      </c>
      <c r="N51" s="91">
        <v>35988732.810000002</v>
      </c>
    </row>
    <row r="52" spans="1:14" ht="12.95" customHeight="1">
      <c r="A52" s="57"/>
      <c r="B52" s="98" t="s">
        <v>262</v>
      </c>
      <c r="C52" s="99" t="s">
        <v>263</v>
      </c>
      <c r="D52" s="92">
        <v>0.5</v>
      </c>
      <c r="E52" s="92">
        <v>0.5</v>
      </c>
      <c r="F52" s="92">
        <v>0.5</v>
      </c>
      <c r="G52" s="92">
        <v>0.5</v>
      </c>
      <c r="H52" s="92">
        <v>0.5</v>
      </c>
      <c r="I52" s="92">
        <v>0.5</v>
      </c>
      <c r="J52" s="92">
        <v>0.5</v>
      </c>
      <c r="K52" s="93">
        <v>0</v>
      </c>
      <c r="L52" s="90">
        <v>16</v>
      </c>
      <c r="M52" s="91">
        <v>4175037</v>
      </c>
      <c r="N52" s="91">
        <v>2087518.5</v>
      </c>
    </row>
    <row r="53" spans="1:14" ht="12.95" customHeight="1">
      <c r="A53" s="57"/>
      <c r="B53" s="169" t="s">
        <v>86</v>
      </c>
      <c r="C53" s="170"/>
      <c r="D53" s="162"/>
      <c r="E53" s="163"/>
      <c r="F53" s="163"/>
      <c r="G53" s="163"/>
      <c r="H53" s="163"/>
      <c r="I53" s="163"/>
      <c r="J53" s="163"/>
      <c r="K53" s="164"/>
      <c r="L53" s="59">
        <f>SUM(L51:L52)</f>
        <v>35</v>
      </c>
      <c r="M53" s="59">
        <f>SUM(M51:M52)</f>
        <v>317441488</v>
      </c>
      <c r="N53" s="60">
        <f>SUM(N51:N52)</f>
        <v>38076251.310000002</v>
      </c>
    </row>
    <row r="54" spans="1:14" ht="12.95" customHeight="1">
      <c r="A54" s="57"/>
      <c r="B54" s="159" t="s">
        <v>91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1"/>
    </row>
    <row r="55" spans="1:14" ht="12.95" customHeight="1">
      <c r="A55" s="57"/>
      <c r="B55" s="98" t="s">
        <v>285</v>
      </c>
      <c r="C55" s="99" t="s">
        <v>286</v>
      </c>
      <c r="D55" s="92">
        <v>4</v>
      </c>
      <c r="E55" s="92">
        <v>4</v>
      </c>
      <c r="F55" s="92">
        <v>4</v>
      </c>
      <c r="G55" s="92">
        <v>4</v>
      </c>
      <c r="H55" s="92">
        <v>4</v>
      </c>
      <c r="I55" s="76">
        <v>4</v>
      </c>
      <c r="J55" s="76">
        <v>4</v>
      </c>
      <c r="K55" s="77">
        <v>0</v>
      </c>
      <c r="L55" s="78">
        <v>1</v>
      </c>
      <c r="M55" s="79">
        <v>497</v>
      </c>
      <c r="N55" s="79">
        <v>1988</v>
      </c>
    </row>
    <row r="56" spans="1:14" ht="12.95" customHeight="1">
      <c r="A56" s="57"/>
      <c r="B56" s="169" t="s">
        <v>272</v>
      </c>
      <c r="C56" s="170"/>
      <c r="D56" s="162"/>
      <c r="E56" s="163"/>
      <c r="F56" s="163"/>
      <c r="G56" s="163"/>
      <c r="H56" s="163"/>
      <c r="I56" s="163"/>
      <c r="J56" s="163"/>
      <c r="K56" s="164"/>
      <c r="L56" s="64">
        <f>SUM(L54:L55)</f>
        <v>1</v>
      </c>
      <c r="M56" s="64">
        <f>SUM(M54:M55)</f>
        <v>497</v>
      </c>
      <c r="N56" s="64">
        <f>SUM(N54:N55)</f>
        <v>1988</v>
      </c>
    </row>
    <row r="57" spans="1:14" ht="12.95" customHeight="1">
      <c r="A57" s="57"/>
      <c r="B57" s="159" t="s">
        <v>81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1"/>
    </row>
    <row r="58" spans="1:14" ht="12.95" customHeight="1">
      <c r="A58" s="57"/>
      <c r="B58" s="98" t="s">
        <v>33</v>
      </c>
      <c r="C58" s="99" t="s">
        <v>34</v>
      </c>
      <c r="D58" s="92">
        <v>1.47</v>
      </c>
      <c r="E58" s="92">
        <v>1.47</v>
      </c>
      <c r="F58" s="92">
        <v>1.46</v>
      </c>
      <c r="G58" s="92">
        <v>1.46</v>
      </c>
      <c r="H58" s="92">
        <v>1.47</v>
      </c>
      <c r="I58" s="92">
        <v>1.46</v>
      </c>
      <c r="J58" s="92">
        <v>1.47</v>
      </c>
      <c r="K58" s="93">
        <v>-0.68</v>
      </c>
      <c r="L58" s="90">
        <v>5</v>
      </c>
      <c r="M58" s="91">
        <v>703381</v>
      </c>
      <c r="N58" s="91">
        <v>1028470.07</v>
      </c>
    </row>
    <row r="59" spans="1:14" ht="12.95" customHeight="1">
      <c r="A59" s="57"/>
      <c r="B59" s="169" t="s">
        <v>87</v>
      </c>
      <c r="C59" s="170"/>
      <c r="D59" s="162"/>
      <c r="E59" s="163"/>
      <c r="F59" s="163"/>
      <c r="G59" s="163"/>
      <c r="H59" s="163"/>
      <c r="I59" s="163"/>
      <c r="J59" s="163"/>
      <c r="K59" s="164"/>
      <c r="L59" s="64">
        <f>SUM(L57:L58)</f>
        <v>5</v>
      </c>
      <c r="M59" s="64">
        <f>SUM(M57:M58)</f>
        <v>703381</v>
      </c>
      <c r="N59" s="64">
        <f>SUM(N57:N58)</f>
        <v>1028470.07</v>
      </c>
    </row>
    <row r="60" spans="1:14" ht="12.95" customHeight="1">
      <c r="A60" s="57"/>
      <c r="B60" s="159" t="s">
        <v>82</v>
      </c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1"/>
    </row>
    <row r="61" spans="1:14" ht="12.95" customHeight="1">
      <c r="A61" s="57"/>
      <c r="B61" s="46" t="s">
        <v>35</v>
      </c>
      <c r="C61" s="58" t="s">
        <v>36</v>
      </c>
      <c r="D61" s="92">
        <v>2.8</v>
      </c>
      <c r="E61" s="92">
        <v>2.8</v>
      </c>
      <c r="F61" s="92">
        <v>2.75</v>
      </c>
      <c r="G61" s="92">
        <v>2.75</v>
      </c>
      <c r="H61" s="92">
        <v>2.75</v>
      </c>
      <c r="I61" s="92">
        <v>2.75</v>
      </c>
      <c r="J61" s="92">
        <v>2.75</v>
      </c>
      <c r="K61" s="93">
        <v>0</v>
      </c>
      <c r="L61" s="90">
        <v>19</v>
      </c>
      <c r="M61" s="91">
        <v>1190695</v>
      </c>
      <c r="N61" s="91">
        <v>3277998.75</v>
      </c>
    </row>
    <row r="62" spans="1:14" ht="12.95" customHeight="1">
      <c r="A62" s="57"/>
      <c r="B62" s="169" t="s">
        <v>88</v>
      </c>
      <c r="C62" s="170"/>
      <c r="D62" s="162"/>
      <c r="E62" s="163"/>
      <c r="F62" s="163"/>
      <c r="G62" s="163"/>
      <c r="H62" s="163"/>
      <c r="I62" s="163"/>
      <c r="J62" s="163"/>
      <c r="K62" s="164"/>
      <c r="L62" s="64">
        <f>SUM(L61:L61)</f>
        <v>19</v>
      </c>
      <c r="M62" s="64">
        <f>SUM(M61:M61)</f>
        <v>1190695</v>
      </c>
      <c r="N62" s="64">
        <f>SUM(N61:N61)</f>
        <v>3277998.75</v>
      </c>
    </row>
    <row r="63" spans="1:14" s="51" customFormat="1" ht="12.95" customHeight="1">
      <c r="B63" s="65" t="s">
        <v>113</v>
      </c>
      <c r="C63" s="165"/>
      <c r="D63" s="166"/>
      <c r="E63" s="166"/>
      <c r="F63" s="166"/>
      <c r="G63" s="166"/>
      <c r="H63" s="166"/>
      <c r="I63" s="166"/>
      <c r="J63" s="166"/>
      <c r="K63" s="167"/>
      <c r="L63" s="66">
        <f>+L56+L53+L62+L59</f>
        <v>60</v>
      </c>
      <c r="M63" s="66">
        <f t="shared" ref="M63:N63" si="0">+M56+M53+M62+M59</f>
        <v>319336061</v>
      </c>
      <c r="N63" s="66">
        <f t="shared" si="0"/>
        <v>42384708.130000003</v>
      </c>
    </row>
    <row r="64" spans="1:14" s="51" customFormat="1" ht="28.5" customHeight="1">
      <c r="A64" s="50"/>
      <c r="B64" s="171" t="s">
        <v>327</v>
      </c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3"/>
    </row>
    <row r="65" spans="1:14" s="51" customFormat="1" ht="44.25" customHeight="1">
      <c r="B65" s="52" t="s">
        <v>15</v>
      </c>
      <c r="C65" s="53" t="s">
        <v>20</v>
      </c>
      <c r="D65" s="53" t="s">
        <v>21</v>
      </c>
      <c r="E65" s="53" t="s">
        <v>22</v>
      </c>
      <c r="F65" s="53" t="s">
        <v>23</v>
      </c>
      <c r="G65" s="53" t="s">
        <v>24</v>
      </c>
      <c r="H65" s="53" t="s">
        <v>25</v>
      </c>
      <c r="I65" s="53" t="s">
        <v>19</v>
      </c>
      <c r="J65" s="53" t="s">
        <v>26</v>
      </c>
      <c r="K65" s="54" t="s">
        <v>27</v>
      </c>
      <c r="L65" s="55" t="s">
        <v>28</v>
      </c>
      <c r="M65" s="55" t="s">
        <v>18</v>
      </c>
      <c r="N65" s="56" t="s">
        <v>7</v>
      </c>
    </row>
    <row r="66" spans="1:14" ht="14.1" customHeight="1">
      <c r="A66" s="57"/>
      <c r="B66" s="159" t="s">
        <v>29</v>
      </c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1"/>
    </row>
    <row r="67" spans="1:14" ht="14.1" customHeight="1">
      <c r="A67" s="57"/>
      <c r="B67" s="98" t="s">
        <v>289</v>
      </c>
      <c r="C67" s="99" t="s">
        <v>290</v>
      </c>
      <c r="D67" s="92">
        <v>0.13</v>
      </c>
      <c r="E67" s="92">
        <v>0.13</v>
      </c>
      <c r="F67" s="92">
        <v>0.13</v>
      </c>
      <c r="G67" s="92">
        <v>0.13</v>
      </c>
      <c r="H67" s="92">
        <v>0.13</v>
      </c>
      <c r="I67" s="92">
        <v>0.13</v>
      </c>
      <c r="J67" s="92">
        <v>0.14000000000000001</v>
      </c>
      <c r="K67" s="93">
        <v>-7.14</v>
      </c>
      <c r="L67" s="90">
        <v>2</v>
      </c>
      <c r="M67" s="91">
        <v>150000</v>
      </c>
      <c r="N67" s="91">
        <v>19500</v>
      </c>
    </row>
    <row r="68" spans="1:14" ht="14.1" customHeight="1">
      <c r="A68" s="57"/>
      <c r="B68" s="98" t="s">
        <v>291</v>
      </c>
      <c r="C68" s="99" t="s">
        <v>292</v>
      </c>
      <c r="D68" s="92">
        <v>0.21</v>
      </c>
      <c r="E68" s="92">
        <v>0.22</v>
      </c>
      <c r="F68" s="92">
        <v>0.21</v>
      </c>
      <c r="G68" s="92">
        <v>0.21</v>
      </c>
      <c r="H68" s="92">
        <v>0.21</v>
      </c>
      <c r="I68" s="92">
        <v>0.21</v>
      </c>
      <c r="J68" s="92">
        <v>0.21</v>
      </c>
      <c r="K68" s="93">
        <v>0</v>
      </c>
      <c r="L68" s="90">
        <v>12</v>
      </c>
      <c r="M68" s="91">
        <v>15150000</v>
      </c>
      <c r="N68" s="91">
        <v>3183000</v>
      </c>
    </row>
    <row r="69" spans="1:14" ht="14.1" customHeight="1">
      <c r="A69" s="57"/>
      <c r="B69" s="98" t="s">
        <v>293</v>
      </c>
      <c r="C69" s="99" t="s">
        <v>294</v>
      </c>
      <c r="D69" s="92">
        <v>0.05</v>
      </c>
      <c r="E69" s="92">
        <v>0.05</v>
      </c>
      <c r="F69" s="92">
        <v>0.05</v>
      </c>
      <c r="G69" s="92">
        <v>0.05</v>
      </c>
      <c r="H69" s="92">
        <v>0.05</v>
      </c>
      <c r="I69" s="92">
        <v>0.05</v>
      </c>
      <c r="J69" s="92">
        <v>0.05</v>
      </c>
      <c r="K69" s="93">
        <v>0</v>
      </c>
      <c r="L69" s="90">
        <v>10</v>
      </c>
      <c r="M69" s="91">
        <v>10000000</v>
      </c>
      <c r="N69" s="91">
        <v>500000</v>
      </c>
    </row>
    <row r="70" spans="1:14" ht="14.1" customHeight="1">
      <c r="A70" s="57"/>
      <c r="B70" s="169" t="s">
        <v>86</v>
      </c>
      <c r="C70" s="170"/>
      <c r="D70" s="162"/>
      <c r="E70" s="163"/>
      <c r="F70" s="163"/>
      <c r="G70" s="163"/>
      <c r="H70" s="163"/>
      <c r="I70" s="163"/>
      <c r="J70" s="163"/>
      <c r="K70" s="164"/>
      <c r="L70" s="59">
        <f>SUM(L67:L69)</f>
        <v>24</v>
      </c>
      <c r="M70" s="59">
        <f>SUM(M67:M69)</f>
        <v>25300000</v>
      </c>
      <c r="N70" s="60">
        <f>SUM(N67:N69)</f>
        <v>3702500</v>
      </c>
    </row>
    <row r="71" spans="1:14" ht="14.1" customHeight="1">
      <c r="A71" s="57"/>
      <c r="B71" s="159" t="s">
        <v>81</v>
      </c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1"/>
    </row>
    <row r="72" spans="1:14" ht="14.1" customHeight="1">
      <c r="A72" s="57"/>
      <c r="B72" s="98" t="s">
        <v>136</v>
      </c>
      <c r="C72" s="99" t="s">
        <v>137</v>
      </c>
      <c r="D72" s="92">
        <v>1.2</v>
      </c>
      <c r="E72" s="92">
        <v>1.21</v>
      </c>
      <c r="F72" s="92">
        <v>1.2</v>
      </c>
      <c r="G72" s="92">
        <v>1.21</v>
      </c>
      <c r="H72" s="92">
        <v>1.2</v>
      </c>
      <c r="I72" s="92">
        <v>1.21</v>
      </c>
      <c r="J72" s="92">
        <v>1.2</v>
      </c>
      <c r="K72" s="93">
        <v>0.83</v>
      </c>
      <c r="L72" s="90">
        <v>2</v>
      </c>
      <c r="M72" s="91">
        <v>10035</v>
      </c>
      <c r="N72" s="91">
        <v>12124.83</v>
      </c>
    </row>
    <row r="73" spans="1:14" ht="14.1" customHeight="1">
      <c r="A73" s="57"/>
      <c r="B73" s="98" t="s">
        <v>84</v>
      </c>
      <c r="C73" s="99" t="s">
        <v>42</v>
      </c>
      <c r="D73" s="92">
        <v>1.33</v>
      </c>
      <c r="E73" s="92">
        <v>1.33</v>
      </c>
      <c r="F73" s="92">
        <v>1.33</v>
      </c>
      <c r="G73" s="92">
        <v>1.33</v>
      </c>
      <c r="H73" s="92">
        <v>1.33</v>
      </c>
      <c r="I73" s="92">
        <v>1.33</v>
      </c>
      <c r="J73" s="92">
        <v>1.33</v>
      </c>
      <c r="K73" s="93">
        <v>0</v>
      </c>
      <c r="L73" s="90">
        <v>1</v>
      </c>
      <c r="M73" s="91">
        <v>3363</v>
      </c>
      <c r="N73" s="91">
        <v>4472.79</v>
      </c>
    </row>
    <row r="74" spans="1:14" ht="14.1" customHeight="1">
      <c r="A74" s="57"/>
      <c r="B74" s="169" t="s">
        <v>87</v>
      </c>
      <c r="C74" s="170"/>
      <c r="D74" s="162"/>
      <c r="E74" s="163"/>
      <c r="F74" s="163"/>
      <c r="G74" s="163"/>
      <c r="H74" s="163"/>
      <c r="I74" s="163"/>
      <c r="J74" s="163"/>
      <c r="K74" s="164"/>
      <c r="L74" s="64">
        <f>SUM(L72:L73)</f>
        <v>3</v>
      </c>
      <c r="M74" s="64">
        <f>SUM(M72:M73)</f>
        <v>13398</v>
      </c>
      <c r="N74" s="64">
        <f>SUM(N72:N73)</f>
        <v>16597.62</v>
      </c>
    </row>
    <row r="75" spans="1:14" ht="14.1" customHeight="1">
      <c r="A75" s="57"/>
      <c r="B75" s="159" t="s">
        <v>82</v>
      </c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1"/>
    </row>
    <row r="76" spans="1:14" ht="14.1" customHeight="1">
      <c r="A76" s="57"/>
      <c r="B76" s="86" t="s">
        <v>165</v>
      </c>
      <c r="C76" s="87" t="s">
        <v>166</v>
      </c>
      <c r="D76" s="92">
        <v>1.37</v>
      </c>
      <c r="E76" s="92">
        <v>1.37</v>
      </c>
      <c r="F76" s="92">
        <v>1.37</v>
      </c>
      <c r="G76" s="92">
        <v>1.37</v>
      </c>
      <c r="H76" s="92">
        <v>1.37</v>
      </c>
      <c r="I76" s="92">
        <v>1.37</v>
      </c>
      <c r="J76" s="92">
        <v>1.37</v>
      </c>
      <c r="K76" s="93">
        <v>0</v>
      </c>
      <c r="L76" s="90">
        <v>1</v>
      </c>
      <c r="M76" s="91">
        <v>67500</v>
      </c>
      <c r="N76" s="91">
        <v>92475</v>
      </c>
    </row>
    <row r="77" spans="1:14" ht="14.1" customHeight="1">
      <c r="A77" s="57"/>
      <c r="B77" s="86" t="s">
        <v>98</v>
      </c>
      <c r="C77" s="87" t="s">
        <v>99</v>
      </c>
      <c r="D77" s="92">
        <v>1.1499999999999999</v>
      </c>
      <c r="E77" s="92">
        <v>1.1499999999999999</v>
      </c>
      <c r="F77" s="92">
        <v>1.1499999999999999</v>
      </c>
      <c r="G77" s="92">
        <v>1.1499999999999999</v>
      </c>
      <c r="H77" s="92">
        <v>1.2</v>
      </c>
      <c r="I77" s="92">
        <v>1.1499999999999999</v>
      </c>
      <c r="J77" s="92">
        <v>1.2</v>
      </c>
      <c r="K77" s="93">
        <v>-4.17</v>
      </c>
      <c r="L77" s="90">
        <v>1</v>
      </c>
      <c r="M77" s="91">
        <v>21609</v>
      </c>
      <c r="N77" s="91">
        <v>24850.35</v>
      </c>
    </row>
    <row r="78" spans="1:14" ht="14.1" customHeight="1">
      <c r="A78" s="57"/>
      <c r="B78" s="86" t="s">
        <v>140</v>
      </c>
      <c r="C78" s="87" t="s">
        <v>141</v>
      </c>
      <c r="D78" s="92">
        <v>1.8</v>
      </c>
      <c r="E78" s="92">
        <v>1.8</v>
      </c>
      <c r="F78" s="92">
        <v>1.8</v>
      </c>
      <c r="G78" s="92">
        <v>1.8</v>
      </c>
      <c r="H78" s="92">
        <v>1.8</v>
      </c>
      <c r="I78" s="92">
        <v>1.8</v>
      </c>
      <c r="J78" s="92">
        <v>1.8</v>
      </c>
      <c r="K78" s="93">
        <v>0</v>
      </c>
      <c r="L78" s="90">
        <v>3</v>
      </c>
      <c r="M78" s="91">
        <v>27678</v>
      </c>
      <c r="N78" s="91">
        <v>49820.4</v>
      </c>
    </row>
    <row r="79" spans="1:14" ht="14.1" customHeight="1">
      <c r="A79" s="57"/>
      <c r="B79" s="86" t="s">
        <v>38</v>
      </c>
      <c r="C79" s="87" t="s">
        <v>39</v>
      </c>
      <c r="D79" s="92">
        <v>1.27</v>
      </c>
      <c r="E79" s="92">
        <v>1.27</v>
      </c>
      <c r="F79" s="92">
        <v>1.27</v>
      </c>
      <c r="G79" s="92">
        <v>1.27</v>
      </c>
      <c r="H79" s="92">
        <v>1.27</v>
      </c>
      <c r="I79" s="92">
        <v>1.27</v>
      </c>
      <c r="J79" s="92">
        <v>1.27</v>
      </c>
      <c r="K79" s="93">
        <v>0</v>
      </c>
      <c r="L79" s="90">
        <v>11</v>
      </c>
      <c r="M79" s="91">
        <v>753913</v>
      </c>
      <c r="N79" s="91">
        <v>957469.51</v>
      </c>
    </row>
    <row r="80" spans="1:14" ht="14.1" customHeight="1">
      <c r="A80" s="57"/>
      <c r="B80" s="169" t="s">
        <v>88</v>
      </c>
      <c r="C80" s="170"/>
      <c r="D80" s="162"/>
      <c r="E80" s="163"/>
      <c r="F80" s="163"/>
      <c r="G80" s="163"/>
      <c r="H80" s="163"/>
      <c r="I80" s="163"/>
      <c r="J80" s="163"/>
      <c r="K80" s="164"/>
      <c r="L80" s="64">
        <f>SUM(L76:L79)</f>
        <v>16</v>
      </c>
      <c r="M80" s="64">
        <f>SUM(M76:M79)</f>
        <v>870700</v>
      </c>
      <c r="N80" s="64">
        <f>SUM(N76:N79)</f>
        <v>1124615.26</v>
      </c>
    </row>
    <row r="81" spans="1:14" ht="14.1" customHeight="1">
      <c r="A81" s="57"/>
      <c r="B81" s="159" t="s">
        <v>31</v>
      </c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1"/>
    </row>
    <row r="82" spans="1:14" ht="14.1" customHeight="1">
      <c r="A82" s="57"/>
      <c r="B82" s="86" t="s">
        <v>301</v>
      </c>
      <c r="C82" s="87" t="s">
        <v>302</v>
      </c>
      <c r="D82" s="92">
        <v>9.1999999999999993</v>
      </c>
      <c r="E82" s="92">
        <v>9.1999999999999993</v>
      </c>
      <c r="F82" s="92">
        <v>9.18</v>
      </c>
      <c r="G82" s="92">
        <v>9.1999999999999993</v>
      </c>
      <c r="H82" s="92">
        <v>9.23</v>
      </c>
      <c r="I82" s="92">
        <v>9.1999999999999993</v>
      </c>
      <c r="J82" s="92">
        <v>9.1999999999999993</v>
      </c>
      <c r="K82" s="93">
        <v>0</v>
      </c>
      <c r="L82" s="90">
        <v>3</v>
      </c>
      <c r="M82" s="91">
        <v>105000</v>
      </c>
      <c r="N82" s="91">
        <v>965814.94</v>
      </c>
    </row>
    <row r="83" spans="1:14" ht="14.1" customHeight="1">
      <c r="A83" s="57"/>
      <c r="B83" s="98" t="s">
        <v>303</v>
      </c>
      <c r="C83" s="99" t="s">
        <v>304</v>
      </c>
      <c r="D83" s="92">
        <v>9.9</v>
      </c>
      <c r="E83" s="92">
        <v>9.9</v>
      </c>
      <c r="F83" s="92">
        <v>9.9</v>
      </c>
      <c r="G83" s="92">
        <v>9.9</v>
      </c>
      <c r="H83" s="92">
        <v>9.8000000000000007</v>
      </c>
      <c r="I83" s="92">
        <v>9.9</v>
      </c>
      <c r="J83" s="92">
        <v>9.8000000000000007</v>
      </c>
      <c r="K83" s="93">
        <v>1.02</v>
      </c>
      <c r="L83" s="90">
        <v>1</v>
      </c>
      <c r="M83" s="91">
        <v>1010</v>
      </c>
      <c r="N83" s="91">
        <v>9999</v>
      </c>
    </row>
    <row r="84" spans="1:14" ht="14.1" customHeight="1">
      <c r="A84" s="57"/>
      <c r="B84" s="86" t="s">
        <v>152</v>
      </c>
      <c r="C84" s="87" t="s">
        <v>153</v>
      </c>
      <c r="D84" s="92">
        <v>20.97</v>
      </c>
      <c r="E84" s="92">
        <v>20.97</v>
      </c>
      <c r="F84" s="92">
        <v>20.75</v>
      </c>
      <c r="G84" s="92">
        <v>20.92</v>
      </c>
      <c r="H84" s="92">
        <v>21</v>
      </c>
      <c r="I84" s="92">
        <v>20.75</v>
      </c>
      <c r="J84" s="92">
        <v>20.97</v>
      </c>
      <c r="K84" s="93">
        <v>-1.05</v>
      </c>
      <c r="L84" s="90">
        <v>4</v>
      </c>
      <c r="M84" s="91">
        <v>19508</v>
      </c>
      <c r="N84" s="91">
        <v>408202.76</v>
      </c>
    </row>
    <row r="85" spans="1:14" ht="14.1" customHeight="1">
      <c r="A85" s="57"/>
      <c r="B85" s="169" t="s">
        <v>89</v>
      </c>
      <c r="C85" s="170"/>
      <c r="D85" s="162"/>
      <c r="E85" s="163"/>
      <c r="F85" s="163"/>
      <c r="G85" s="163"/>
      <c r="H85" s="163"/>
      <c r="I85" s="163"/>
      <c r="J85" s="163"/>
      <c r="K85" s="164"/>
      <c r="L85" s="64">
        <f>SUM(L82:L84)</f>
        <v>8</v>
      </c>
      <c r="M85" s="64">
        <f>SUM(M82:M84)</f>
        <v>125518</v>
      </c>
      <c r="N85" s="64">
        <f>SUM(N82:N84)</f>
        <v>1384016.7</v>
      </c>
    </row>
    <row r="86" spans="1:14" ht="14.1" customHeight="1">
      <c r="A86" s="57"/>
      <c r="B86" s="159" t="s">
        <v>83</v>
      </c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1"/>
    </row>
    <row r="87" spans="1:14" ht="14.1" customHeight="1">
      <c r="A87" s="57"/>
      <c r="B87" s="98" t="s">
        <v>230</v>
      </c>
      <c r="C87" s="99" t="s">
        <v>231</v>
      </c>
      <c r="D87" s="76">
        <v>5.23</v>
      </c>
      <c r="E87" s="76">
        <v>5.23</v>
      </c>
      <c r="F87" s="76">
        <v>5.12</v>
      </c>
      <c r="G87" s="76">
        <v>5.17</v>
      </c>
      <c r="H87" s="76">
        <v>5.29</v>
      </c>
      <c r="I87" s="76">
        <v>5.14</v>
      </c>
      <c r="J87" s="76">
        <v>5.23</v>
      </c>
      <c r="K87" s="77">
        <v>-1.72</v>
      </c>
      <c r="L87" s="78">
        <v>50</v>
      </c>
      <c r="M87" s="79">
        <v>11036393</v>
      </c>
      <c r="N87" s="79">
        <v>57061414.880000003</v>
      </c>
    </row>
    <row r="88" spans="1:14" ht="14.1" customHeight="1">
      <c r="A88" s="57"/>
      <c r="B88" s="169" t="s">
        <v>223</v>
      </c>
      <c r="C88" s="170"/>
      <c r="D88" s="162"/>
      <c r="E88" s="163"/>
      <c r="F88" s="163"/>
      <c r="G88" s="163"/>
      <c r="H88" s="163"/>
      <c r="I88" s="163"/>
      <c r="J88" s="163"/>
      <c r="K88" s="164"/>
      <c r="L88" s="103">
        <f>SUM(L87:L87)</f>
        <v>50</v>
      </c>
      <c r="M88" s="103">
        <f>SUM(M87:M87)</f>
        <v>11036393</v>
      </c>
      <c r="N88" s="103">
        <f>SUM(N87:N87)</f>
        <v>57061414.880000003</v>
      </c>
    </row>
    <row r="89" spans="1:14" s="51" customFormat="1" ht="14.1" customHeight="1">
      <c r="B89" s="65" t="s">
        <v>69</v>
      </c>
      <c r="C89" s="165"/>
      <c r="D89" s="166"/>
      <c r="E89" s="166"/>
      <c r="F89" s="166"/>
      <c r="G89" s="166"/>
      <c r="H89" s="166"/>
      <c r="I89" s="166"/>
      <c r="J89" s="166"/>
      <c r="K89" s="167"/>
      <c r="L89" s="66">
        <f>L88+L85+L80+L70+L74</f>
        <v>101</v>
      </c>
      <c r="M89" s="66">
        <f>M88+M85+M80+M70+M74</f>
        <v>37346009</v>
      </c>
      <c r="N89" s="66">
        <f>N88+N85+N80+N70+N74</f>
        <v>63289144.460000001</v>
      </c>
    </row>
    <row r="90" spans="1:14" s="51" customFormat="1" ht="14.1" customHeight="1">
      <c r="B90" s="65" t="s">
        <v>40</v>
      </c>
      <c r="C90" s="165"/>
      <c r="D90" s="166"/>
      <c r="E90" s="166"/>
      <c r="F90" s="166"/>
      <c r="G90" s="166"/>
      <c r="H90" s="166"/>
      <c r="I90" s="166"/>
      <c r="J90" s="166"/>
      <c r="K90" s="167"/>
      <c r="L90" s="66">
        <f>L89+L63+L47</f>
        <v>845</v>
      </c>
      <c r="M90" s="66">
        <f>M89+M63+M47</f>
        <v>903266252</v>
      </c>
      <c r="N90" s="66">
        <f>N89+N63+N47</f>
        <v>1175320193.29</v>
      </c>
    </row>
    <row r="91" spans="1:14" ht="12.95" customHeight="1">
      <c r="A91" s="57"/>
      <c r="N91" s="70"/>
    </row>
    <row r="92" spans="1:14" s="51" customFormat="1" ht="18.75" customHeight="1">
      <c r="B92" s="57"/>
      <c r="C92" s="67"/>
      <c r="D92" s="57"/>
      <c r="E92" s="57"/>
      <c r="F92" s="57"/>
      <c r="G92" s="57"/>
      <c r="H92" s="57"/>
      <c r="I92" s="57"/>
      <c r="J92" s="68"/>
      <c r="K92" s="69"/>
      <c r="L92" s="70"/>
      <c r="M92" s="70"/>
      <c r="N92" s="71"/>
    </row>
    <row r="93" spans="1:14" s="51" customFormat="1" ht="18.75" customHeight="1">
      <c r="B93" s="57"/>
      <c r="C93" s="67"/>
      <c r="D93" s="57"/>
      <c r="E93" s="57"/>
      <c r="F93" s="57"/>
      <c r="G93" s="57"/>
      <c r="H93" s="57"/>
      <c r="I93" s="57"/>
      <c r="J93" s="68"/>
      <c r="K93" s="69"/>
      <c r="L93" s="70"/>
      <c r="M93" s="70"/>
      <c r="N93" s="71"/>
    </row>
    <row r="94" spans="1:14" ht="12.95" customHeight="1">
      <c r="A94" s="57"/>
    </row>
  </sheetData>
  <mergeCells count="55">
    <mergeCell ref="B74:C74"/>
    <mergeCell ref="B54:N54"/>
    <mergeCell ref="D41:K41"/>
    <mergeCell ref="B41:C41"/>
    <mergeCell ref="B42:N42"/>
    <mergeCell ref="B46:C46"/>
    <mergeCell ref="D46:K46"/>
    <mergeCell ref="B48:N48"/>
    <mergeCell ref="B50:N50"/>
    <mergeCell ref="C47:K47"/>
    <mergeCell ref="D53:K53"/>
    <mergeCell ref="B53:C53"/>
    <mergeCell ref="B56:C56"/>
    <mergeCell ref="D56:K56"/>
    <mergeCell ref="D70:K70"/>
    <mergeCell ref="B59:C59"/>
    <mergeCell ref="C90:K90"/>
    <mergeCell ref="B64:N64"/>
    <mergeCell ref="C89:K89"/>
    <mergeCell ref="B75:N75"/>
    <mergeCell ref="B80:C80"/>
    <mergeCell ref="D80:K80"/>
    <mergeCell ref="B81:N81"/>
    <mergeCell ref="B85:C85"/>
    <mergeCell ref="D85:K85"/>
    <mergeCell ref="B88:C88"/>
    <mergeCell ref="D88:K88"/>
    <mergeCell ref="B86:N86"/>
    <mergeCell ref="B66:N66"/>
    <mergeCell ref="D74:K74"/>
    <mergeCell ref="B71:N71"/>
    <mergeCell ref="B70:C70"/>
    <mergeCell ref="B1:N1"/>
    <mergeCell ref="D37:K37"/>
    <mergeCell ref="B37:C37"/>
    <mergeCell ref="B3:N3"/>
    <mergeCell ref="B30:N30"/>
    <mergeCell ref="B23:N23"/>
    <mergeCell ref="B29:C29"/>
    <mergeCell ref="D14:K14"/>
    <mergeCell ref="B14:C14"/>
    <mergeCell ref="D29:K29"/>
    <mergeCell ref="B15:N15"/>
    <mergeCell ref="B18:C18"/>
    <mergeCell ref="D18:K18"/>
    <mergeCell ref="B19:N19"/>
    <mergeCell ref="B22:C22"/>
    <mergeCell ref="B57:N57"/>
    <mergeCell ref="D22:K22"/>
    <mergeCell ref="D59:K59"/>
    <mergeCell ref="D62:K62"/>
    <mergeCell ref="C63:K63"/>
    <mergeCell ref="B60:N60"/>
    <mergeCell ref="B62:C62"/>
    <mergeCell ref="B38:N38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topLeftCell="A34" zoomScale="130" zoomScaleNormal="130" workbookViewId="0">
      <selection activeCell="A3" sqref="A3:D58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174" t="s">
        <v>326</v>
      </c>
      <c r="B1" s="174"/>
      <c r="C1" s="174"/>
      <c r="D1" s="174"/>
    </row>
    <row r="2" spans="1:4" ht="13.9" customHeight="1">
      <c r="A2" s="72" t="s">
        <v>41</v>
      </c>
      <c r="B2" s="72" t="s">
        <v>20</v>
      </c>
      <c r="C2" s="72" t="s">
        <v>90</v>
      </c>
      <c r="D2" s="72" t="s">
        <v>19</v>
      </c>
    </row>
    <row r="3" spans="1:4" ht="14.45" customHeight="1">
      <c r="A3" s="175" t="s">
        <v>29</v>
      </c>
      <c r="B3" s="176"/>
      <c r="C3" s="176"/>
      <c r="D3" s="177"/>
    </row>
    <row r="4" spans="1:4" ht="14.45" customHeight="1">
      <c r="A4" s="98" t="s">
        <v>295</v>
      </c>
      <c r="B4" s="99" t="s">
        <v>296</v>
      </c>
      <c r="C4" s="92">
        <v>0.16</v>
      </c>
      <c r="D4" s="92">
        <v>0.16</v>
      </c>
    </row>
    <row r="5" spans="1:4" ht="14.45" customHeight="1">
      <c r="A5" s="98" t="s">
        <v>257</v>
      </c>
      <c r="B5" s="99" t="s">
        <v>258</v>
      </c>
      <c r="C5" s="92">
        <v>0.32</v>
      </c>
      <c r="D5" s="92">
        <v>0.32</v>
      </c>
    </row>
    <row r="6" spans="1:4" ht="14.45" customHeight="1">
      <c r="A6" s="98" t="s">
        <v>253</v>
      </c>
      <c r="B6" s="99" t="s">
        <v>254</v>
      </c>
      <c r="C6" s="92">
        <v>0.28999999999999998</v>
      </c>
      <c r="D6" s="92">
        <v>0.32</v>
      </c>
    </row>
    <row r="7" spans="1:4" ht="14.45" customHeight="1">
      <c r="A7" s="98" t="s">
        <v>150</v>
      </c>
      <c r="B7" s="99" t="s">
        <v>151</v>
      </c>
      <c r="C7" s="92">
        <v>1</v>
      </c>
      <c r="D7" s="92">
        <v>1</v>
      </c>
    </row>
    <row r="8" spans="1:4" ht="14.45" customHeight="1">
      <c r="A8" s="98" t="s">
        <v>236</v>
      </c>
      <c r="B8" s="99" t="s">
        <v>237</v>
      </c>
      <c r="C8" s="92">
        <v>1.75</v>
      </c>
      <c r="D8" s="92">
        <v>1.75</v>
      </c>
    </row>
    <row r="9" spans="1:4" ht="14.45" customHeight="1">
      <c r="A9" s="181" t="s">
        <v>81</v>
      </c>
      <c r="B9" s="182"/>
      <c r="C9" s="182"/>
      <c r="D9" s="183"/>
    </row>
    <row r="10" spans="1:4" ht="14.45" customHeight="1">
      <c r="A10" s="98" t="s">
        <v>311</v>
      </c>
      <c r="B10" s="99" t="s">
        <v>312</v>
      </c>
      <c r="C10" s="92">
        <v>0.5</v>
      </c>
      <c r="D10" s="92">
        <v>0.5</v>
      </c>
    </row>
    <row r="11" spans="1:4" ht="14.45" customHeight="1">
      <c r="A11" s="181" t="s">
        <v>82</v>
      </c>
      <c r="B11" s="182"/>
      <c r="C11" s="182"/>
      <c r="D11" s="183"/>
    </row>
    <row r="12" spans="1:4" ht="14.45" customHeight="1">
      <c r="A12" s="46" t="s">
        <v>106</v>
      </c>
      <c r="B12" s="58" t="s">
        <v>107</v>
      </c>
      <c r="C12" s="76">
        <v>1.94</v>
      </c>
      <c r="D12" s="76">
        <v>1.94</v>
      </c>
    </row>
    <row r="13" spans="1:4" ht="14.45" customHeight="1">
      <c r="A13" s="46" t="s">
        <v>94</v>
      </c>
      <c r="B13" s="58" t="s">
        <v>95</v>
      </c>
      <c r="C13" s="76">
        <v>5.04</v>
      </c>
      <c r="D13" s="76">
        <v>5.04</v>
      </c>
    </row>
    <row r="14" spans="1:4" ht="14.45" customHeight="1">
      <c r="A14" s="46" t="s">
        <v>123</v>
      </c>
      <c r="B14" s="58" t="s">
        <v>124</v>
      </c>
      <c r="C14" s="92">
        <v>1.4</v>
      </c>
      <c r="D14" s="104">
        <v>1.4</v>
      </c>
    </row>
    <row r="15" spans="1:4" ht="14.45" customHeight="1">
      <c r="A15" s="181" t="s">
        <v>31</v>
      </c>
      <c r="B15" s="182"/>
      <c r="C15" s="182"/>
      <c r="D15" s="183"/>
    </row>
    <row r="16" spans="1:4" ht="14.45" customHeight="1">
      <c r="A16" s="46" t="s">
        <v>146</v>
      </c>
      <c r="B16" s="58" t="s">
        <v>147</v>
      </c>
      <c r="C16" s="92">
        <v>108</v>
      </c>
      <c r="D16" s="92">
        <v>108</v>
      </c>
    </row>
    <row r="17" spans="1:4" ht="14.45" customHeight="1">
      <c r="A17" s="46" t="s">
        <v>193</v>
      </c>
      <c r="B17" s="58" t="s">
        <v>194</v>
      </c>
      <c r="C17" s="92">
        <v>13.3</v>
      </c>
      <c r="D17" s="92">
        <v>13.3</v>
      </c>
    </row>
    <row r="18" spans="1:4" ht="14.45" customHeight="1">
      <c r="A18" s="178" t="s">
        <v>83</v>
      </c>
      <c r="B18" s="179"/>
      <c r="C18" s="179"/>
      <c r="D18" s="180"/>
    </row>
    <row r="19" spans="1:4" ht="14.45" customHeight="1">
      <c r="A19" s="46" t="s">
        <v>251</v>
      </c>
      <c r="B19" s="58" t="s">
        <v>252</v>
      </c>
      <c r="C19" s="76">
        <v>11</v>
      </c>
      <c r="D19" s="76">
        <v>11</v>
      </c>
    </row>
    <row r="20" spans="1:4" ht="14.45" customHeight="1">
      <c r="A20" s="72" t="s">
        <v>41</v>
      </c>
      <c r="B20" s="72" t="s">
        <v>20</v>
      </c>
      <c r="C20" s="72" t="s">
        <v>90</v>
      </c>
      <c r="D20" s="72" t="s">
        <v>19</v>
      </c>
    </row>
    <row r="21" spans="1:4" ht="14.45" customHeight="1">
      <c r="A21" s="181" t="s">
        <v>29</v>
      </c>
      <c r="B21" s="182"/>
      <c r="C21" s="182"/>
      <c r="D21" s="183"/>
    </row>
    <row r="22" spans="1:4" ht="14.45" customHeight="1">
      <c r="A22" s="98" t="s">
        <v>205</v>
      </c>
      <c r="B22" s="99" t="s">
        <v>206</v>
      </c>
      <c r="C22" s="92">
        <v>0.05</v>
      </c>
      <c r="D22" s="92">
        <v>0.05</v>
      </c>
    </row>
    <row r="23" spans="1:4" ht="14.45" customHeight="1">
      <c r="A23" s="98" t="s">
        <v>267</v>
      </c>
      <c r="B23" s="99" t="s">
        <v>266</v>
      </c>
      <c r="C23" s="92">
        <v>0.08</v>
      </c>
      <c r="D23" s="92">
        <v>0.08</v>
      </c>
    </row>
    <row r="24" spans="1:4" ht="14.45" customHeight="1">
      <c r="A24" s="98" t="s">
        <v>249</v>
      </c>
      <c r="B24" s="99" t="s">
        <v>250</v>
      </c>
      <c r="C24" s="92">
        <v>0.85</v>
      </c>
      <c r="D24" s="92">
        <v>0.85</v>
      </c>
    </row>
    <row r="25" spans="1:4" ht="14.45" customHeight="1">
      <c r="A25" s="98" t="s">
        <v>299</v>
      </c>
      <c r="B25" s="99" t="s">
        <v>300</v>
      </c>
      <c r="C25" s="92">
        <v>1</v>
      </c>
      <c r="D25" s="92">
        <v>1</v>
      </c>
    </row>
    <row r="26" spans="1:4" ht="14.45" customHeight="1">
      <c r="A26" s="98" t="s">
        <v>187</v>
      </c>
      <c r="B26" s="99" t="s">
        <v>188</v>
      </c>
      <c r="C26" s="92">
        <v>0.25</v>
      </c>
      <c r="D26" s="92">
        <v>0.25</v>
      </c>
    </row>
    <row r="27" spans="1:4" ht="14.45" customHeight="1">
      <c r="A27" s="46" t="s">
        <v>173</v>
      </c>
      <c r="B27" s="58" t="s">
        <v>174</v>
      </c>
      <c r="C27" s="92">
        <v>7.0000000000000007E-2</v>
      </c>
      <c r="D27" s="92">
        <v>7.0000000000000007E-2</v>
      </c>
    </row>
    <row r="28" spans="1:4" ht="14.45" customHeight="1">
      <c r="A28" s="98" t="s">
        <v>189</v>
      </c>
      <c r="B28" s="99" t="s">
        <v>190</v>
      </c>
      <c r="C28" s="92">
        <v>0.2</v>
      </c>
      <c r="D28" s="92">
        <v>0.2</v>
      </c>
    </row>
    <row r="29" spans="1:4" ht="14.45" customHeight="1">
      <c r="A29" s="98" t="s">
        <v>264</v>
      </c>
      <c r="B29" s="99" t="s">
        <v>265</v>
      </c>
      <c r="C29" s="92">
        <v>1</v>
      </c>
      <c r="D29" s="92">
        <v>1</v>
      </c>
    </row>
    <row r="30" spans="1:4" ht="14.45" customHeight="1">
      <c r="A30" s="98" t="s">
        <v>219</v>
      </c>
      <c r="B30" s="99" t="s">
        <v>220</v>
      </c>
      <c r="C30" s="92">
        <v>1</v>
      </c>
      <c r="D30" s="92">
        <v>1</v>
      </c>
    </row>
    <row r="31" spans="1:4" ht="14.45" customHeight="1">
      <c r="A31" s="46" t="s">
        <v>232</v>
      </c>
      <c r="B31" s="58" t="s">
        <v>233</v>
      </c>
      <c r="C31" s="76">
        <v>0.11</v>
      </c>
      <c r="D31" s="92">
        <v>0.11</v>
      </c>
    </row>
    <row r="32" spans="1:4" ht="14.45" customHeight="1">
      <c r="A32" s="46" t="s">
        <v>234</v>
      </c>
      <c r="B32" s="58" t="s">
        <v>235</v>
      </c>
      <c r="C32" s="92">
        <v>1</v>
      </c>
      <c r="D32" s="92">
        <v>1</v>
      </c>
    </row>
    <row r="33" spans="1:4" ht="14.45" customHeight="1">
      <c r="A33" s="98" t="s">
        <v>224</v>
      </c>
      <c r="B33" s="99" t="s">
        <v>225</v>
      </c>
      <c r="C33" s="92">
        <v>1.01</v>
      </c>
      <c r="D33" s="92">
        <v>1.01</v>
      </c>
    </row>
    <row r="34" spans="1:4" ht="14.45" customHeight="1">
      <c r="A34" s="98" t="s">
        <v>177</v>
      </c>
      <c r="B34" s="99" t="s">
        <v>178</v>
      </c>
      <c r="C34" s="92">
        <v>1.05</v>
      </c>
      <c r="D34" s="92">
        <v>1.05</v>
      </c>
    </row>
    <row r="35" spans="1:4" ht="14.45" customHeight="1">
      <c r="A35" s="82" t="s">
        <v>148</v>
      </c>
      <c r="B35" s="83" t="s">
        <v>149</v>
      </c>
      <c r="C35" s="81">
        <v>1</v>
      </c>
      <c r="D35" s="81">
        <v>1</v>
      </c>
    </row>
    <row r="36" spans="1:4" ht="14.45" customHeight="1">
      <c r="A36" s="46" t="s">
        <v>132</v>
      </c>
      <c r="B36" s="58" t="s">
        <v>133</v>
      </c>
      <c r="C36" s="81">
        <v>0.75</v>
      </c>
      <c r="D36" s="81">
        <v>0.75</v>
      </c>
    </row>
    <row r="37" spans="1:4" ht="14.45" customHeight="1">
      <c r="A37" s="46" t="s">
        <v>96</v>
      </c>
      <c r="B37" s="58" t="s">
        <v>97</v>
      </c>
      <c r="C37" s="81">
        <v>0.94</v>
      </c>
      <c r="D37" s="81">
        <v>0.94</v>
      </c>
    </row>
    <row r="38" spans="1:4" ht="14.45" customHeight="1">
      <c r="A38" s="181" t="s">
        <v>125</v>
      </c>
      <c r="B38" s="182"/>
      <c r="C38" s="182"/>
      <c r="D38" s="183"/>
    </row>
    <row r="39" spans="1:4" ht="14.45" customHeight="1">
      <c r="A39" s="46" t="s">
        <v>162</v>
      </c>
      <c r="B39" s="58" t="s">
        <v>161</v>
      </c>
      <c r="C39" s="92">
        <v>0.68</v>
      </c>
      <c r="D39" s="92">
        <v>0.68</v>
      </c>
    </row>
    <row r="40" spans="1:4" ht="14.45" customHeight="1">
      <c r="A40" s="98" t="s">
        <v>255</v>
      </c>
      <c r="B40" s="99" t="s">
        <v>256</v>
      </c>
      <c r="C40" s="92">
        <v>1.26</v>
      </c>
      <c r="D40" s="92">
        <v>1.26</v>
      </c>
    </row>
    <row r="41" spans="1:4" ht="14.45" customHeight="1">
      <c r="A41" s="181" t="s">
        <v>91</v>
      </c>
      <c r="B41" s="182"/>
      <c r="C41" s="182"/>
      <c r="D41" s="183"/>
    </row>
    <row r="42" spans="1:4" ht="14.45" customHeight="1">
      <c r="A42" s="98" t="s">
        <v>268</v>
      </c>
      <c r="B42" s="99" t="s">
        <v>269</v>
      </c>
      <c r="C42" s="92">
        <v>0.77</v>
      </c>
      <c r="D42" s="92">
        <v>0.75</v>
      </c>
    </row>
    <row r="43" spans="1:4" ht="14.45" customHeight="1">
      <c r="A43" s="181" t="s">
        <v>81</v>
      </c>
      <c r="B43" s="182"/>
      <c r="C43" s="182"/>
      <c r="D43" s="183"/>
    </row>
    <row r="44" spans="1:4" ht="14.45" customHeight="1">
      <c r="A44" s="98" t="s">
        <v>209</v>
      </c>
      <c r="B44" s="99" t="s">
        <v>210</v>
      </c>
      <c r="C44" s="92">
        <v>1</v>
      </c>
      <c r="D44" s="92">
        <v>1</v>
      </c>
    </row>
    <row r="45" spans="1:4" ht="14.45" customHeight="1">
      <c r="A45" s="181" t="s">
        <v>82</v>
      </c>
      <c r="B45" s="182"/>
      <c r="C45" s="182"/>
      <c r="D45" s="183"/>
    </row>
    <row r="46" spans="1:4" ht="14.45" customHeight="1">
      <c r="A46" s="46" t="s">
        <v>85</v>
      </c>
      <c r="B46" s="58" t="s">
        <v>37</v>
      </c>
      <c r="C46" s="92">
        <v>1.04</v>
      </c>
      <c r="D46" s="92">
        <v>1.04</v>
      </c>
    </row>
    <row r="47" spans="1:4" ht="14.45" customHeight="1">
      <c r="A47" s="86" t="s">
        <v>168</v>
      </c>
      <c r="B47" s="87" t="s">
        <v>167</v>
      </c>
      <c r="C47" s="92">
        <v>3</v>
      </c>
      <c r="D47" s="92">
        <v>3</v>
      </c>
    </row>
    <row r="48" spans="1:4" ht="14.45" customHeight="1">
      <c r="A48" s="98" t="s">
        <v>198</v>
      </c>
      <c r="B48" s="99" t="s">
        <v>197</v>
      </c>
      <c r="C48" s="92">
        <v>100</v>
      </c>
      <c r="D48" s="92">
        <v>100</v>
      </c>
    </row>
    <row r="49" spans="1:4" ht="14.45" customHeight="1">
      <c r="A49" s="181" t="s">
        <v>31</v>
      </c>
      <c r="B49" s="182"/>
      <c r="C49" s="182"/>
      <c r="D49" s="183"/>
    </row>
    <row r="50" spans="1:4" ht="14.45" customHeight="1">
      <c r="A50" s="46" t="s">
        <v>195</v>
      </c>
      <c r="B50" s="58" t="s">
        <v>196</v>
      </c>
      <c r="C50" s="92">
        <v>25.98</v>
      </c>
      <c r="D50" s="92">
        <v>25.98</v>
      </c>
    </row>
    <row r="51" spans="1:4" ht="14.45" customHeight="1">
      <c r="A51" s="72" t="s">
        <v>41</v>
      </c>
      <c r="B51" s="72" t="s">
        <v>20</v>
      </c>
      <c r="C51" s="72" t="s">
        <v>90</v>
      </c>
      <c r="D51" s="72" t="s">
        <v>19</v>
      </c>
    </row>
    <row r="52" spans="1:4" ht="14.45" customHeight="1">
      <c r="A52" s="181" t="s">
        <v>29</v>
      </c>
      <c r="B52" s="182"/>
      <c r="C52" s="182"/>
      <c r="D52" s="183"/>
    </row>
    <row r="53" spans="1:4" ht="14.45" customHeight="1">
      <c r="A53" s="98" t="s">
        <v>297</v>
      </c>
      <c r="B53" s="99" t="s">
        <v>298</v>
      </c>
      <c r="C53" s="92">
        <v>1</v>
      </c>
      <c r="D53" s="92">
        <v>1</v>
      </c>
    </row>
    <row r="54" spans="1:4" ht="14.45" customHeight="1">
      <c r="A54" s="175" t="s">
        <v>82</v>
      </c>
      <c r="B54" s="176"/>
      <c r="C54" s="176"/>
      <c r="D54" s="177"/>
    </row>
    <row r="55" spans="1:4" ht="14.45" customHeight="1">
      <c r="A55" s="86" t="s">
        <v>202</v>
      </c>
      <c r="B55" s="87" t="s">
        <v>201</v>
      </c>
      <c r="C55" s="92">
        <v>1.65</v>
      </c>
      <c r="D55" s="92">
        <v>1.65</v>
      </c>
    </row>
    <row r="56" spans="1:4" ht="14.45" customHeight="1">
      <c r="A56" s="175" t="s">
        <v>83</v>
      </c>
      <c r="B56" s="176"/>
      <c r="C56" s="176"/>
      <c r="D56" s="177"/>
    </row>
    <row r="57" spans="1:4" ht="14.45" customHeight="1">
      <c r="A57" s="98" t="s">
        <v>305</v>
      </c>
      <c r="B57" s="99" t="s">
        <v>306</v>
      </c>
      <c r="C57" s="76">
        <v>8.4</v>
      </c>
      <c r="D57" s="76">
        <v>8.4</v>
      </c>
    </row>
    <row r="58" spans="1:4" ht="14.45" customHeight="1">
      <c r="A58" s="98" t="s">
        <v>307</v>
      </c>
      <c r="B58" s="99" t="s">
        <v>308</v>
      </c>
      <c r="C58" s="76">
        <v>0.35</v>
      </c>
      <c r="D58" s="76">
        <v>0.38</v>
      </c>
    </row>
  </sheetData>
  <mergeCells count="15">
    <mergeCell ref="A41:D41"/>
    <mergeCell ref="A56:D56"/>
    <mergeCell ref="A15:D15"/>
    <mergeCell ref="A54:D54"/>
    <mergeCell ref="A45:D45"/>
    <mergeCell ref="A49:D49"/>
    <mergeCell ref="A43:D43"/>
    <mergeCell ref="A52:D52"/>
    <mergeCell ref="A38:D38"/>
    <mergeCell ref="A1:D1"/>
    <mergeCell ref="A3:D3"/>
    <mergeCell ref="A18:D18"/>
    <mergeCell ref="A21:D21"/>
    <mergeCell ref="A11:D11"/>
    <mergeCell ref="A9:D9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zoomScale="120" zoomScaleNormal="120" workbookViewId="0">
      <selection activeCell="M11" sqref="M11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04" t="s">
        <v>0</v>
      </c>
      <c r="C1" s="205"/>
      <c r="D1" s="206"/>
      <c r="E1" s="6"/>
      <c r="F1" s="10"/>
      <c r="G1" s="10"/>
      <c r="H1" s="10"/>
      <c r="I1" s="10"/>
    </row>
    <row r="2" spans="1:9" ht="9" customHeight="1">
      <c r="B2" s="207"/>
      <c r="C2" s="208"/>
      <c r="D2" s="209"/>
      <c r="E2" s="6"/>
      <c r="F2" s="10"/>
      <c r="G2" s="10"/>
      <c r="H2" s="10"/>
      <c r="I2" s="10"/>
    </row>
    <row r="3" spans="1:9" ht="18" customHeight="1">
      <c r="B3" s="89" t="s">
        <v>324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5" customFormat="1" ht="24.75" customHeight="1">
      <c r="A5" s="6"/>
      <c r="B5" s="218" t="s">
        <v>325</v>
      </c>
      <c r="C5" s="219"/>
      <c r="D5" s="219"/>
      <c r="E5" s="219"/>
      <c r="F5" s="219"/>
      <c r="G5" s="219"/>
      <c r="H5" s="219"/>
      <c r="I5" s="220"/>
    </row>
    <row r="6" spans="1:9" s="105" customFormat="1" ht="36" customHeight="1">
      <c r="A6" s="6"/>
      <c r="B6" s="106" t="s">
        <v>15</v>
      </c>
      <c r="C6" s="107" t="s">
        <v>20</v>
      </c>
      <c r="D6" s="107" t="s">
        <v>22</v>
      </c>
      <c r="E6" s="107" t="s">
        <v>23</v>
      </c>
      <c r="F6" s="107" t="s">
        <v>24</v>
      </c>
      <c r="G6" s="108" t="s">
        <v>28</v>
      </c>
      <c r="H6" s="108" t="s">
        <v>18</v>
      </c>
      <c r="I6" s="109" t="s">
        <v>7</v>
      </c>
    </row>
    <row r="7" spans="1:9" s="105" customFormat="1" ht="13.5" customHeight="1">
      <c r="A7" s="6"/>
      <c r="B7" s="221" t="s">
        <v>29</v>
      </c>
      <c r="C7" s="222"/>
      <c r="D7" s="222"/>
      <c r="E7" s="222"/>
      <c r="F7" s="222"/>
      <c r="G7" s="222"/>
      <c r="H7" s="222"/>
      <c r="I7" s="223"/>
    </row>
    <row r="8" spans="1:9" s="105" customFormat="1" ht="13.5" customHeight="1">
      <c r="A8" s="6"/>
      <c r="B8" s="110" t="s">
        <v>191</v>
      </c>
      <c r="C8" s="111" t="s">
        <v>192</v>
      </c>
      <c r="D8" s="112">
        <v>0.13</v>
      </c>
      <c r="E8" s="112">
        <v>0.13</v>
      </c>
      <c r="F8" s="112">
        <v>0.13</v>
      </c>
      <c r="G8" s="97">
        <v>2</v>
      </c>
      <c r="H8" s="97">
        <v>611928</v>
      </c>
      <c r="I8" s="97">
        <v>79550.64</v>
      </c>
    </row>
    <row r="9" spans="1:9" s="105" customFormat="1" ht="13.5" customHeight="1">
      <c r="A9" s="6"/>
      <c r="B9" s="113" t="s">
        <v>320</v>
      </c>
      <c r="C9" s="190"/>
      <c r="D9" s="192"/>
      <c r="E9" s="192"/>
      <c r="F9" s="202"/>
      <c r="G9" s="114">
        <f>SUM(G8)</f>
        <v>2</v>
      </c>
      <c r="H9" s="114">
        <f>SUM(H8)</f>
        <v>611928</v>
      </c>
      <c r="I9" s="114">
        <f>SUM(I8)</f>
        <v>79550.64</v>
      </c>
    </row>
    <row r="10" spans="1:9" s="105" customFormat="1" ht="13.5" customHeight="1">
      <c r="A10" s="6"/>
      <c r="B10" s="115" t="s">
        <v>321</v>
      </c>
      <c r="C10" s="224"/>
      <c r="D10" s="225"/>
      <c r="E10" s="225"/>
      <c r="F10" s="226"/>
      <c r="G10" s="116">
        <f>G9</f>
        <v>2</v>
      </c>
      <c r="H10" s="116">
        <f t="shared" ref="H10:I10" si="0">H9</f>
        <v>611928</v>
      </c>
      <c r="I10" s="116">
        <f t="shared" si="0"/>
        <v>79550.64</v>
      </c>
    </row>
    <row r="11" spans="1:9" ht="21" customHeight="1">
      <c r="B11" s="215" t="s">
        <v>109</v>
      </c>
      <c r="C11" s="216"/>
      <c r="D11" s="216"/>
      <c r="E11" s="216"/>
      <c r="F11" s="216"/>
      <c r="G11" s="216"/>
      <c r="H11" s="216"/>
      <c r="I11" s="216"/>
    </row>
    <row r="12" spans="1:9" ht="12" customHeight="1">
      <c r="B12" s="210" t="s">
        <v>15</v>
      </c>
      <c r="C12" s="211"/>
      <c r="D12" s="212"/>
      <c r="E12" s="210" t="s">
        <v>20</v>
      </c>
      <c r="F12" s="212"/>
      <c r="G12" s="217" t="s">
        <v>43</v>
      </c>
      <c r="H12" s="211"/>
      <c r="I12" s="212"/>
    </row>
    <row r="13" spans="1:9" ht="12" customHeight="1">
      <c r="B13" s="213" t="s">
        <v>29</v>
      </c>
      <c r="C13" s="168"/>
      <c r="D13" s="168"/>
      <c r="E13" s="168"/>
      <c r="F13" s="168"/>
      <c r="G13" s="168"/>
      <c r="H13" s="168"/>
      <c r="I13" s="214"/>
    </row>
    <row r="14" spans="1:9" ht="12" customHeight="1">
      <c r="B14" s="187" t="s">
        <v>309</v>
      </c>
      <c r="C14" s="188"/>
      <c r="D14" s="189"/>
      <c r="E14" s="190" t="s">
        <v>310</v>
      </c>
      <c r="F14" s="191"/>
      <c r="G14" s="190" t="s">
        <v>70</v>
      </c>
      <c r="H14" s="192"/>
      <c r="I14" s="191"/>
    </row>
    <row r="15" spans="1:9" ht="12" customHeight="1">
      <c r="B15" s="187" t="s">
        <v>207</v>
      </c>
      <c r="C15" s="227" t="s">
        <v>208</v>
      </c>
      <c r="D15" s="189"/>
      <c r="E15" s="190" t="s">
        <v>208</v>
      </c>
      <c r="F15" s="191"/>
      <c r="G15" s="190">
        <v>3</v>
      </c>
      <c r="H15" s="228"/>
      <c r="I15" s="191"/>
    </row>
    <row r="16" spans="1:9" ht="12" customHeight="1">
      <c r="B16" s="229" t="s">
        <v>71</v>
      </c>
      <c r="C16" s="230"/>
      <c r="D16" s="230"/>
      <c r="E16" s="230"/>
      <c r="F16" s="230"/>
      <c r="G16" s="230"/>
      <c r="H16" s="230"/>
      <c r="I16" s="231"/>
    </row>
    <row r="17" spans="2:9" ht="12" customHeight="1">
      <c r="B17" s="187" t="s">
        <v>273</v>
      </c>
      <c r="C17" s="188"/>
      <c r="D17" s="189"/>
      <c r="E17" s="190" t="s">
        <v>274</v>
      </c>
      <c r="F17" s="191"/>
      <c r="G17" s="190">
        <v>1</v>
      </c>
      <c r="H17" s="192"/>
      <c r="I17" s="191"/>
    </row>
    <row r="18" spans="2:9" ht="12" customHeight="1">
      <c r="B18" s="187" t="s">
        <v>100</v>
      </c>
      <c r="C18" s="188"/>
      <c r="D18" s="189"/>
      <c r="E18" s="190" t="s">
        <v>101</v>
      </c>
      <c r="F18" s="191"/>
      <c r="G18" s="190">
        <v>25</v>
      </c>
      <c r="H18" s="192"/>
      <c r="I18" s="191"/>
    </row>
    <row r="19" spans="2:9" ht="12" customHeight="1">
      <c r="B19" s="187" t="s">
        <v>163</v>
      </c>
      <c r="C19" s="188"/>
      <c r="D19" s="189"/>
      <c r="E19" s="190" t="s">
        <v>164</v>
      </c>
      <c r="F19" s="191"/>
      <c r="G19" s="190">
        <v>10</v>
      </c>
      <c r="H19" s="192"/>
      <c r="I19" s="191"/>
    </row>
    <row r="20" spans="2:9" ht="12" customHeight="1">
      <c r="B20" s="193" t="s">
        <v>104</v>
      </c>
      <c r="C20" s="194"/>
      <c r="D20" s="195"/>
      <c r="E20" s="196" t="s">
        <v>105</v>
      </c>
      <c r="F20" s="197"/>
      <c r="G20" s="196">
        <v>1</v>
      </c>
      <c r="H20" s="198"/>
      <c r="I20" s="197"/>
    </row>
    <row r="21" spans="2:9" ht="12" customHeight="1">
      <c r="B21" s="193" t="s">
        <v>114</v>
      </c>
      <c r="C21" s="194"/>
      <c r="D21" s="195"/>
      <c r="E21" s="196" t="s">
        <v>115</v>
      </c>
      <c r="F21" s="197"/>
      <c r="G21" s="196" t="s">
        <v>70</v>
      </c>
      <c r="H21" s="198"/>
      <c r="I21" s="197"/>
    </row>
    <row r="22" spans="2:9" ht="12" customHeight="1">
      <c r="B22" s="184" t="s">
        <v>246</v>
      </c>
      <c r="C22" s="185"/>
      <c r="D22" s="185"/>
      <c r="E22" s="185"/>
      <c r="F22" s="185"/>
      <c r="G22" s="185"/>
      <c r="H22" s="185"/>
      <c r="I22" s="186"/>
    </row>
    <row r="23" spans="2:9" ht="12" customHeight="1">
      <c r="B23" s="187" t="s">
        <v>247</v>
      </c>
      <c r="C23" s="188"/>
      <c r="D23" s="189"/>
      <c r="E23" s="190" t="s">
        <v>248</v>
      </c>
      <c r="F23" s="191"/>
      <c r="G23" s="190" t="s">
        <v>70</v>
      </c>
      <c r="H23" s="192"/>
      <c r="I23" s="191"/>
    </row>
    <row r="24" spans="2:9" ht="12" customHeight="1">
      <c r="B24" s="184" t="s">
        <v>91</v>
      </c>
      <c r="C24" s="185"/>
      <c r="D24" s="185"/>
      <c r="E24" s="185"/>
      <c r="F24" s="185"/>
      <c r="G24" s="185"/>
      <c r="H24" s="185"/>
      <c r="I24" s="186"/>
    </row>
    <row r="25" spans="2:9" ht="12" customHeight="1">
      <c r="B25" s="187" t="s">
        <v>315</v>
      </c>
      <c r="C25" s="188"/>
      <c r="D25" s="189"/>
      <c r="E25" s="190" t="s">
        <v>316</v>
      </c>
      <c r="F25" s="191"/>
      <c r="G25" s="190" t="s">
        <v>70</v>
      </c>
      <c r="H25" s="192"/>
      <c r="I25" s="191"/>
    </row>
    <row r="26" spans="2:9" ht="12" customHeight="1">
      <c r="B26" s="187" t="s">
        <v>313</v>
      </c>
      <c r="C26" s="188"/>
      <c r="D26" s="189"/>
      <c r="E26" s="190" t="s">
        <v>314</v>
      </c>
      <c r="F26" s="191"/>
      <c r="G26" s="190" t="s">
        <v>70</v>
      </c>
      <c r="H26" s="192"/>
      <c r="I26" s="191"/>
    </row>
    <row r="27" spans="2:9" ht="12" customHeight="1">
      <c r="B27" s="187" t="s">
        <v>226</v>
      </c>
      <c r="C27" s="188"/>
      <c r="D27" s="189"/>
      <c r="E27" s="190" t="s">
        <v>227</v>
      </c>
      <c r="F27" s="191"/>
      <c r="G27" s="190" t="s">
        <v>70</v>
      </c>
      <c r="H27" s="192"/>
      <c r="I27" s="191"/>
    </row>
    <row r="28" spans="2:9" ht="12" customHeight="1">
      <c r="B28" s="187" t="s">
        <v>203</v>
      </c>
      <c r="C28" s="188"/>
      <c r="D28" s="189"/>
      <c r="E28" s="190" t="s">
        <v>204</v>
      </c>
      <c r="F28" s="191"/>
      <c r="G28" s="190" t="s">
        <v>70</v>
      </c>
      <c r="H28" s="192"/>
      <c r="I28" s="191"/>
    </row>
    <row r="29" spans="2:9" ht="12" customHeight="1">
      <c r="B29" s="187" t="s">
        <v>185</v>
      </c>
      <c r="C29" s="188"/>
      <c r="D29" s="189"/>
      <c r="E29" s="190" t="s">
        <v>186</v>
      </c>
      <c r="F29" s="191"/>
      <c r="G29" s="190">
        <v>1</v>
      </c>
      <c r="H29" s="192"/>
      <c r="I29" s="191"/>
    </row>
    <row r="30" spans="2:9" ht="12" customHeight="1">
      <c r="B30" s="199" t="s">
        <v>154</v>
      </c>
      <c r="C30" s="188"/>
      <c r="D30" s="200"/>
      <c r="E30" s="201" t="s">
        <v>155</v>
      </c>
      <c r="F30" s="202"/>
      <c r="G30" s="201" t="s">
        <v>70</v>
      </c>
      <c r="H30" s="192"/>
      <c r="I30" s="202"/>
    </row>
    <row r="31" spans="2:9" ht="12" customHeight="1">
      <c r="B31" s="199" t="s">
        <v>139</v>
      </c>
      <c r="C31" s="188"/>
      <c r="D31" s="200"/>
      <c r="E31" s="201" t="s">
        <v>138</v>
      </c>
      <c r="F31" s="202"/>
      <c r="G31" s="201">
        <v>0.5</v>
      </c>
      <c r="H31" s="192"/>
      <c r="I31" s="202"/>
    </row>
    <row r="32" spans="2:9" ht="12" customHeight="1">
      <c r="B32" s="193" t="s">
        <v>142</v>
      </c>
      <c r="C32" s="194"/>
      <c r="D32" s="195"/>
      <c r="E32" s="203" t="s">
        <v>143</v>
      </c>
      <c r="F32" s="203"/>
      <c r="G32" s="196" t="s">
        <v>70</v>
      </c>
      <c r="H32" s="198"/>
      <c r="I32" s="197"/>
    </row>
    <row r="33" spans="2:9" ht="12" customHeight="1">
      <c r="B33" s="193" t="s">
        <v>103</v>
      </c>
      <c r="C33" s="194"/>
      <c r="D33" s="195"/>
      <c r="E33" s="196" t="s">
        <v>102</v>
      </c>
      <c r="F33" s="197"/>
      <c r="G33" s="196" t="s">
        <v>70</v>
      </c>
      <c r="H33" s="198"/>
      <c r="I33" s="197"/>
    </row>
    <row r="34" spans="2:9" ht="12" customHeight="1">
      <c r="B34" s="193" t="s">
        <v>238</v>
      </c>
      <c r="C34" s="194"/>
      <c r="D34" s="195"/>
      <c r="E34" s="196" t="s">
        <v>240</v>
      </c>
      <c r="F34" s="197"/>
      <c r="G34" s="196" t="s">
        <v>70</v>
      </c>
      <c r="H34" s="198"/>
      <c r="I34" s="197"/>
    </row>
    <row r="35" spans="2:9" ht="12" customHeight="1">
      <c r="B35" s="193" t="s">
        <v>239</v>
      </c>
      <c r="C35" s="194"/>
      <c r="D35" s="195"/>
      <c r="E35" s="196" t="s">
        <v>241</v>
      </c>
      <c r="F35" s="197"/>
      <c r="G35" s="196" t="s">
        <v>70</v>
      </c>
      <c r="H35" s="198"/>
      <c r="I35" s="197"/>
    </row>
    <row r="36" spans="2:9" ht="12" customHeight="1">
      <c r="B36" s="193" t="s">
        <v>245</v>
      </c>
      <c r="C36" s="194"/>
      <c r="D36" s="195"/>
      <c r="E36" s="196" t="s">
        <v>244</v>
      </c>
      <c r="F36" s="197"/>
      <c r="G36" s="196"/>
      <c r="H36" s="198"/>
      <c r="I36" s="197"/>
    </row>
    <row r="37" spans="2:9" ht="12" customHeight="1">
      <c r="B37" s="184" t="s">
        <v>317</v>
      </c>
      <c r="C37" s="185"/>
      <c r="D37" s="185"/>
      <c r="E37" s="185"/>
      <c r="F37" s="185"/>
      <c r="G37" s="185"/>
      <c r="H37" s="185"/>
      <c r="I37" s="186"/>
    </row>
    <row r="38" spans="2:9" ht="12" customHeight="1">
      <c r="B38" s="187" t="s">
        <v>319</v>
      </c>
      <c r="C38" s="188"/>
      <c r="D38" s="189"/>
      <c r="E38" s="190" t="s">
        <v>318</v>
      </c>
      <c r="F38" s="191"/>
      <c r="G38" s="190" t="s">
        <v>70</v>
      </c>
      <c r="H38" s="192"/>
      <c r="I38" s="191"/>
    </row>
    <row r="39" spans="2:9" ht="12" customHeight="1">
      <c r="B39" s="187" t="s">
        <v>261</v>
      </c>
      <c r="C39" s="188"/>
      <c r="D39" s="189"/>
      <c r="E39" s="190" t="s">
        <v>156</v>
      </c>
      <c r="F39" s="191"/>
      <c r="G39" s="190">
        <v>2</v>
      </c>
      <c r="H39" s="192"/>
      <c r="I39" s="191"/>
    </row>
  </sheetData>
  <mergeCells count="80">
    <mergeCell ref="B38:D38"/>
    <mergeCell ref="E38:F38"/>
    <mergeCell ref="G38:I38"/>
    <mergeCell ref="B14:D14"/>
    <mergeCell ref="E14:F14"/>
    <mergeCell ref="G14:I14"/>
    <mergeCell ref="B22:I22"/>
    <mergeCell ref="B23:D23"/>
    <mergeCell ref="B15:D15"/>
    <mergeCell ref="E15:F15"/>
    <mergeCell ref="G15:I15"/>
    <mergeCell ref="B18:D18"/>
    <mergeCell ref="E18:F18"/>
    <mergeCell ref="B16:I16"/>
    <mergeCell ref="G18:I18"/>
    <mergeCell ref="B17:D17"/>
    <mergeCell ref="G31:I31"/>
    <mergeCell ref="G30:I30"/>
    <mergeCell ref="E17:F17"/>
    <mergeCell ref="G17:I17"/>
    <mergeCell ref="B19:D19"/>
    <mergeCell ref="E20:F20"/>
    <mergeCell ref="G20:I20"/>
    <mergeCell ref="E19:F19"/>
    <mergeCell ref="G19:I19"/>
    <mergeCell ref="B20:D20"/>
    <mergeCell ref="B25:D25"/>
    <mergeCell ref="E25:F25"/>
    <mergeCell ref="G25:I25"/>
    <mergeCell ref="B21:D21"/>
    <mergeCell ref="E23:F23"/>
    <mergeCell ref="G23:I23"/>
    <mergeCell ref="B35:D35"/>
    <mergeCell ref="E35:F35"/>
    <mergeCell ref="G35:I35"/>
    <mergeCell ref="B34:D34"/>
    <mergeCell ref="E34:F34"/>
    <mergeCell ref="G34:I34"/>
    <mergeCell ref="B1:D2"/>
    <mergeCell ref="B12:D12"/>
    <mergeCell ref="E12:F12"/>
    <mergeCell ref="B13:I13"/>
    <mergeCell ref="B11:I11"/>
    <mergeCell ref="G12:I12"/>
    <mergeCell ref="B5:I5"/>
    <mergeCell ref="B7:I7"/>
    <mergeCell ref="C9:F9"/>
    <mergeCell ref="C10:F10"/>
    <mergeCell ref="E21:F21"/>
    <mergeCell ref="B33:D33"/>
    <mergeCell ref="E33:F33"/>
    <mergeCell ref="G33:I33"/>
    <mergeCell ref="B30:D30"/>
    <mergeCell ref="E30:F30"/>
    <mergeCell ref="G32:I32"/>
    <mergeCell ref="B32:D32"/>
    <mergeCell ref="E32:F32"/>
    <mergeCell ref="B31:D31"/>
    <mergeCell ref="E31:F31"/>
    <mergeCell ref="B24:I24"/>
    <mergeCell ref="G21:I21"/>
    <mergeCell ref="E29:F29"/>
    <mergeCell ref="G29:I29"/>
    <mergeCell ref="B29:D29"/>
    <mergeCell ref="B37:I37"/>
    <mergeCell ref="B39:D39"/>
    <mergeCell ref="E39:F39"/>
    <mergeCell ref="G39:I39"/>
    <mergeCell ref="B26:D26"/>
    <mergeCell ref="E26:F26"/>
    <mergeCell ref="G26:I26"/>
    <mergeCell ref="B27:D27"/>
    <mergeCell ref="E27:F27"/>
    <mergeCell ref="G27:I27"/>
    <mergeCell ref="B36:D36"/>
    <mergeCell ref="E36:F36"/>
    <mergeCell ref="G36:I36"/>
    <mergeCell ref="E28:F28"/>
    <mergeCell ref="G28:I28"/>
    <mergeCell ref="B28:D28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B2" sqref="B2:F2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32" t="s">
        <v>0</v>
      </c>
      <c r="C1" s="232"/>
      <c r="D1" s="5"/>
      <c r="E1" s="5"/>
      <c r="F1" s="5"/>
    </row>
    <row r="2" spans="1:6" ht="27.95" customHeight="1">
      <c r="A2" s="4"/>
      <c r="B2" s="233" t="s">
        <v>324</v>
      </c>
      <c r="C2" s="233"/>
      <c r="D2" s="233"/>
      <c r="E2" s="233"/>
      <c r="F2" s="233"/>
    </row>
    <row r="3" spans="1:6" ht="42.75" customHeight="1">
      <c r="B3" s="218" t="s">
        <v>44</v>
      </c>
      <c r="C3" s="219"/>
      <c r="D3" s="219"/>
      <c r="E3" s="219"/>
      <c r="F3" s="219"/>
    </row>
    <row r="4" spans="1:6" ht="31.5" customHeight="1">
      <c r="B4" s="2" t="s">
        <v>45</v>
      </c>
      <c r="C4" s="3" t="s">
        <v>46</v>
      </c>
      <c r="D4" s="3" t="s">
        <v>20</v>
      </c>
      <c r="E4" s="3" t="s">
        <v>47</v>
      </c>
      <c r="F4" s="3" t="s">
        <v>48</v>
      </c>
    </row>
    <row r="5" spans="1:6" ht="20.100000000000001" customHeight="1">
      <c r="B5" s="11" t="s">
        <v>73</v>
      </c>
      <c r="C5" s="13" t="s">
        <v>54</v>
      </c>
      <c r="D5" s="13" t="s">
        <v>50</v>
      </c>
      <c r="E5" s="14">
        <v>964981</v>
      </c>
      <c r="F5" s="13" t="s">
        <v>51</v>
      </c>
    </row>
    <row r="6" spans="1:6" ht="20.100000000000001" customHeight="1">
      <c r="B6" s="11" t="s">
        <v>72</v>
      </c>
      <c r="C6" s="12" t="s">
        <v>49</v>
      </c>
      <c r="D6" s="15" t="s">
        <v>53</v>
      </c>
      <c r="E6" s="14">
        <v>1001095</v>
      </c>
      <c r="F6" s="16" t="s">
        <v>52</v>
      </c>
    </row>
    <row r="7" spans="1:6" ht="20.100000000000001" customHeight="1">
      <c r="B7" s="11" t="s">
        <v>72</v>
      </c>
      <c r="C7" s="12" t="s">
        <v>54</v>
      </c>
      <c r="D7" s="15" t="s">
        <v>55</v>
      </c>
      <c r="E7" s="14" t="s">
        <v>52</v>
      </c>
      <c r="F7" s="16" t="s">
        <v>52</v>
      </c>
    </row>
    <row r="8" spans="1:6" ht="20.100000000000001" customHeight="1">
      <c r="B8" s="11" t="s">
        <v>76</v>
      </c>
      <c r="C8" s="17" t="s">
        <v>56</v>
      </c>
      <c r="D8" s="15" t="s">
        <v>57</v>
      </c>
      <c r="E8" s="14" t="s">
        <v>52</v>
      </c>
      <c r="F8" s="16" t="s">
        <v>52</v>
      </c>
    </row>
    <row r="9" spans="1:6" ht="20.100000000000001" customHeight="1">
      <c r="B9" s="11" t="s">
        <v>72</v>
      </c>
      <c r="C9" s="17" t="s">
        <v>56</v>
      </c>
      <c r="D9" s="15" t="s">
        <v>58</v>
      </c>
      <c r="E9" s="14" t="s">
        <v>52</v>
      </c>
      <c r="F9" s="16" t="s">
        <v>52</v>
      </c>
    </row>
    <row r="10" spans="1:6" ht="20.100000000000001" customHeight="1">
      <c r="B10" s="11" t="s">
        <v>75</v>
      </c>
      <c r="C10" s="12" t="s">
        <v>49</v>
      </c>
      <c r="D10" s="15" t="s">
        <v>78</v>
      </c>
      <c r="E10" s="14" t="s">
        <v>52</v>
      </c>
      <c r="F10" s="16" t="s">
        <v>52</v>
      </c>
    </row>
    <row r="11" spans="1:6" ht="20.100000000000001" customHeight="1">
      <c r="B11" s="94" t="s">
        <v>75</v>
      </c>
      <c r="C11" s="95" t="s">
        <v>54</v>
      </c>
      <c r="D11" s="96" t="s">
        <v>110</v>
      </c>
      <c r="E11" s="100">
        <v>515493</v>
      </c>
      <c r="F11" s="16" t="s">
        <v>52</v>
      </c>
    </row>
    <row r="12" spans="1:6" ht="20.100000000000001" customHeight="1">
      <c r="B12" s="94" t="s">
        <v>74</v>
      </c>
      <c r="C12" s="95" t="s">
        <v>49</v>
      </c>
      <c r="D12" s="96" t="s">
        <v>79</v>
      </c>
      <c r="E12" s="100">
        <v>951110</v>
      </c>
      <c r="F12" s="16" t="s">
        <v>52</v>
      </c>
    </row>
    <row r="13" spans="1:6" ht="20.100000000000001" customHeight="1">
      <c r="B13" s="94" t="s">
        <v>74</v>
      </c>
      <c r="C13" s="95" t="s">
        <v>54</v>
      </c>
      <c r="D13" s="96" t="s">
        <v>77</v>
      </c>
      <c r="E13" s="97">
        <v>965050</v>
      </c>
      <c r="F13" s="16" t="s">
        <v>52</v>
      </c>
    </row>
    <row r="14" spans="1:6" ht="20.100000000000001" customHeight="1">
      <c r="B14" s="11" t="s">
        <v>75</v>
      </c>
      <c r="C14" s="17" t="s">
        <v>56</v>
      </c>
      <c r="D14" s="15" t="s">
        <v>111</v>
      </c>
      <c r="E14" s="14" t="s">
        <v>52</v>
      </c>
      <c r="F14" s="16" t="s">
        <v>52</v>
      </c>
    </row>
    <row r="15" spans="1:6" ht="20.100000000000001" customHeight="1">
      <c r="B15" s="11" t="s">
        <v>74</v>
      </c>
      <c r="C15" s="17" t="s">
        <v>56</v>
      </c>
      <c r="D15" s="15" t="s">
        <v>112</v>
      </c>
      <c r="E15" s="14">
        <v>978181.82</v>
      </c>
      <c r="F15" s="16" t="s">
        <v>52</v>
      </c>
    </row>
    <row r="16" spans="1:6" ht="20.100000000000001" customHeight="1">
      <c r="B16" s="11" t="s">
        <v>116</v>
      </c>
      <c r="C16" s="17" t="s">
        <v>49</v>
      </c>
      <c r="D16" s="15" t="s">
        <v>118</v>
      </c>
      <c r="E16" s="14" t="s">
        <v>52</v>
      </c>
      <c r="F16" s="16" t="s">
        <v>52</v>
      </c>
    </row>
    <row r="17" spans="2:6" ht="20.100000000000001" customHeight="1">
      <c r="B17" s="11" t="s">
        <v>117</v>
      </c>
      <c r="C17" s="17" t="s">
        <v>54</v>
      </c>
      <c r="D17" s="15" t="s">
        <v>119</v>
      </c>
      <c r="E17" s="14" t="s">
        <v>52</v>
      </c>
      <c r="F17" s="16" t="s">
        <v>52</v>
      </c>
    </row>
    <row r="18" spans="2:6" ht="20.100000000000001" customHeight="1">
      <c r="B18" s="11" t="s">
        <v>116</v>
      </c>
      <c r="C18" s="17" t="s">
        <v>54</v>
      </c>
      <c r="D18" s="15" t="s">
        <v>120</v>
      </c>
      <c r="E18" s="14" t="s">
        <v>52</v>
      </c>
      <c r="F18" s="16" t="s">
        <v>52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</vt:lpstr>
      <vt:lpstr>Top 5</vt:lpstr>
      <vt:lpstr>Bullient </vt:lpstr>
      <vt:lpstr>Not trading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2026-09-21T10:30:39Z</cp:lastPrinted>
  <dcterms:created xsi:type="dcterms:W3CDTF">2024-09-12T06:50:39Z</dcterms:created>
  <dcterms:modified xsi:type="dcterms:W3CDTF">2026-09-21T11:06:48Z</dcterms:modified>
</cp:coreProperties>
</file>