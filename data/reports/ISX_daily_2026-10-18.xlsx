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901E678-3555-4A76-BFCE-5F0392792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OTC" sheetId="15" r:id="rId5"/>
    <sheet name="Not trading OTC" sheetId="19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" i="16" l="1"/>
  <c r="N37" i="16"/>
  <c r="L37" i="16"/>
  <c r="L36" i="16"/>
  <c r="M36" i="16"/>
  <c r="N36" i="16"/>
  <c r="L22" i="16"/>
  <c r="M22" i="16"/>
  <c r="N22" i="16"/>
  <c r="N49" i="16"/>
  <c r="M49" i="16"/>
  <c r="L49" i="16"/>
  <c r="N55" i="16"/>
  <c r="M55" i="16"/>
  <c r="L55" i="16"/>
  <c r="L32" i="16"/>
  <c r="M32" i="16"/>
  <c r="N32" i="16"/>
  <c r="L79" i="16"/>
  <c r="M79" i="16"/>
  <c r="N79" i="16"/>
  <c r="L70" i="16"/>
  <c r="M70" i="16"/>
  <c r="N70" i="16"/>
  <c r="H10" i="15" l="1"/>
  <c r="I10" i="15"/>
  <c r="G10" i="15"/>
  <c r="G13" i="15"/>
  <c r="H13" i="15"/>
  <c r="I13" i="15"/>
  <c r="N43" i="16"/>
  <c r="M43" i="16"/>
  <c r="L43" i="16"/>
  <c r="L62" i="16"/>
  <c r="M62" i="16"/>
  <c r="N62" i="16"/>
  <c r="L15" i="16"/>
  <c r="M15" i="16"/>
  <c r="N15" i="16"/>
  <c r="L26" i="16"/>
  <c r="M26" i="16"/>
  <c r="N26" i="16"/>
  <c r="L66" i="16"/>
  <c r="M66" i="16"/>
  <c r="N66" i="16"/>
  <c r="L52" i="16"/>
  <c r="M52" i="16"/>
  <c r="N52" i="16"/>
  <c r="N46" i="16"/>
  <c r="M46" i="16"/>
  <c r="L46" i="16"/>
  <c r="L74" i="16"/>
  <c r="M74" i="16"/>
  <c r="N74" i="16"/>
  <c r="G16" i="15"/>
  <c r="H16" i="15"/>
  <c r="I16" i="15"/>
  <c r="N56" i="16" l="1"/>
  <c r="M56" i="16"/>
  <c r="L56" i="16"/>
  <c r="H17" i="15"/>
  <c r="I17" i="15"/>
  <c r="G17" i="15"/>
  <c r="L19" i="16"/>
  <c r="M19" i="16"/>
  <c r="N19" i="16"/>
  <c r="M80" i="16" l="1"/>
  <c r="N80" i="16"/>
  <c r="L80" i="16"/>
  <c r="N81" i="16" l="1"/>
  <c r="I5" i="12" s="1"/>
  <c r="M81" i="16"/>
  <c r="D5" i="12" s="1"/>
  <c r="L81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<sst xmlns="http://schemas.openxmlformats.org/spreadsheetml/2006/main" count="521" uniqueCount="335">
  <si>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</si>
  <si>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</si>
  <si>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</si>
  <si>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</si>
  <si>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</si>
  <si>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</si>
  <si>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</si>
  <si>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</si>
  <si>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</si>
  <si>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</si>
  <si>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</si>
  <si>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</si>
  <si>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</si>
  <si>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</si>
  <si>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</si>
  <si>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</si>
  <si>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</si>
  <si>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</si>
  <si>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</si>
  <si>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</si>
  <si>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</si>
  <si>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</si>
  <si>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</si>
  <si>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</si>
  <si>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</si>
  <si>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</si>
  <si>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</si>
  <si>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</si>
  <si>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</si>
  <si>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</si>
  <si>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</si>
  <si>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</si>
  <si>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</si>
  <si>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</si>
  <si>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</si>
  <si>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</si>
  <si>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</si>
  <si>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</si>
  <si>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</si>
  <si>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</si>
  <si>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</si>
  <si>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</si>
  <si>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</si>
  <si>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</si>
  <si>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</si>
  <si>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</si>
  <si>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</si>
  <si>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</si>
  <si>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</si>
  <si>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</si>
  <si>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</si>
  <si>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</si>
  <si>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</si>
  <si>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</si>
  <si>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</si>
  <si>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</si>
  <si>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</si>
  <si>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</si>
  <si>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</si>
  <si>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</si>
  <si>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</si>
  <si>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</si>
  <si>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</si>
  <si>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</si>
  <si>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</si>
  <si>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</si>
  <si>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</si>
  <si>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</si>
  <si>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</si>
  <si>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</si>
  <si>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</si>
  <si>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</si>
  <si>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</si>
  <si>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</si>
  <si>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</si>
  <si>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</si>
  <si>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</si>
  <si>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</si>
  <si>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</si>
  <si>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</si>
  <si>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</si>
  <si>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</si>
  <si>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</si>
  <si>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</si>
  <si>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</si>
  <si>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</si>
  <si>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</si>
  <si>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</si>
  <si>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</si>
  <si>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</si>
  <si>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</si>
  <si>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</si>
  <si>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</si>
  <si>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</si>
  <si>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</si>
  <si>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</si>
  <si>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</si>
  <si>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</si>
  <si>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</si>
  <si>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</si>
  <si>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</si>
  <si>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</si>
  <si>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</si>
  <si>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</si>
  <si>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</si>
  <si>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</si>
  <si>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</si>
  <si>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</si>
  <si>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</si>
  <si>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</si>
  <si>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</si>
  <si>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</si>
  <si>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</si>
  <si>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</si>
  <si>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</si>
  <si>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</si>
  <si>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</si>
  <si>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</si>
  <si>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</si>
  <si>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</si>
  <si>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</si>
  <si>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</si>
  <si>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</si>
  <si>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</si>
  <si>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</si>
  <si>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</si>
  <si>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</si>
  <si>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</si>
  <si>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</si>
  <si>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</si>
  <si>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</si>
  <si>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BIBI</t>
  </si>
  <si>
    <t>Investment Bank of Iraq</t>
  </si>
  <si>
    <t>Babylon Hotel</t>
  </si>
  <si>
    <t>HBAY</t>
  </si>
  <si>
    <t>Palestine Hotel</t>
  </si>
  <si>
    <t>HPAL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</si>
  <si>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</si>
  <si>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</si>
  <si>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</si>
  <si>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</si>
  <si>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</si>
  <si>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</si>
  <si>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</si>
  <si>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</si>
  <si>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</si>
  <si>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</si>
  <si>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</si>
  <si>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</si>
  <si>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</si>
  <si>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</si>
  <si>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</si>
  <si>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</si>
  <si>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</si>
  <si>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</si>
  <si>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</si>
  <si>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</si>
  <si>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</si>
  <si>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</si>
  <si>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</si>
  <si>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</si>
  <si>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</si>
  <si>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</si>
  <si>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</si>
  <si>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</si>
  <si>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</si>
  <si>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</si>
  <si>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</si>
  <si>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</si>
  <si>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</si>
  <si>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</si>
  <si>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</si>
  <si>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</si>
  <si>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</si>
  <si>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</si>
  <si>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</si>
  <si>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</si>
  <si>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</si>
  <si>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</si>
  <si>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</si>
  <si>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</si>
  <si>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</si>
  <si>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</si>
  <si>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</si>
  <si>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</si>
  <si>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</si>
  <si>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</si>
  <si>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</si>
  <si>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</si>
  <si>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</si>
  <si>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</si>
  <si>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</si>
  <si>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</si>
  <si>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</si>
  <si>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AL- Mal Islamic Bank</t>
  </si>
  <si>
    <t>BMAL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</si>
  <si>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</si>
  <si>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</si>
  <si>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</si>
  <si>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</si>
  <si>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</si>
  <si>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</si>
  <si>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</si>
  <si>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</si>
  <si>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</si>
  <si>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</si>
  <si>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</si>
  <si>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</si>
  <si>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</si>
  <si>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</si>
  <si>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</si>
  <si>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</si>
  <si>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</si>
  <si>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</si>
  <si>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</si>
  <si>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</si>
  <si>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</si>
  <si>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</si>
  <si>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</si>
  <si>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</si>
  <si>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</si>
  <si>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</si>
  <si>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</si>
  <si>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</si>
  <si>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</si>
  <si>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</si>
  <si>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</si>
  <si>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</si>
  <si>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</si>
  <si>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</si>
  <si>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</si>
  <si>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</si>
  <si>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</si>
  <si>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</si>
  <si>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</si>
  <si>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</si>
  <si>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</si>
  <si>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</si>
  <si>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</si>
  <si>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</si>
  <si>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</si>
  <si>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</si>
  <si>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</si>
  <si>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</si>
  <si>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</si>
  <si>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</si>
  <si>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</si>
  <si>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</si>
  <si>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</si>
  <si>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</si>
  <si>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</si>
  <si>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</si>
  <si>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 xml:space="preserve">Ready Made Clothes </t>
  </si>
  <si>
    <t>IRMC</t>
  </si>
  <si>
    <t>Al-Hamraa for Insurance</t>
  </si>
  <si>
    <t>NHAM</t>
  </si>
  <si>
    <t>Al-Khatam Telecom</t>
  </si>
  <si>
    <t>TZNI</t>
  </si>
  <si>
    <t>Sumer Commercial Bank</t>
  </si>
  <si>
    <t>BSUC</t>
  </si>
  <si>
    <t>United Bank</t>
  </si>
  <si>
    <t>BUND</t>
  </si>
  <si>
    <t>Union Bank of Iraq</t>
  </si>
  <si>
    <t>BUOI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</si>
  <si>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</si>
  <si>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</si>
  <si>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</si>
  <si>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</si>
  <si>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</si>
  <si>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</si>
  <si>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</si>
  <si>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</si>
  <si>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</si>
  <si>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</si>
  <si>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</si>
  <si>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</si>
  <si>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</si>
  <si>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</si>
  <si>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</si>
  <si>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</si>
  <si>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</si>
  <si>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</si>
  <si>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</si>
  <si>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 xml:space="preserve">Total </t>
  </si>
  <si>
    <t>Al-Khair Insurance Company</t>
  </si>
  <si>
    <t>NKHA</t>
  </si>
  <si>
    <t xml:space="preserve">Gulf Insurance </t>
  </si>
  <si>
    <t>NGIR</t>
  </si>
  <si>
    <t>Modern Sewing</t>
  </si>
  <si>
    <t>IMOS</t>
  </si>
  <si>
    <t>Asia Al Iraq Islamic Bank for Investment</t>
  </si>
  <si>
    <t>BAIB</t>
  </si>
  <si>
    <t>Iraqi For Tufted Carpets</t>
  </si>
  <si>
    <t>IITC</t>
  </si>
  <si>
    <t>International Islamic Bank</t>
  </si>
  <si>
    <t>BINT</t>
  </si>
  <si>
    <t>Total Of Industry Sector</t>
  </si>
  <si>
    <t>International Union Insurance Company</t>
  </si>
  <si>
    <t>NUNI</t>
  </si>
  <si>
    <t>Baghdad for Packing Materials</t>
  </si>
  <si>
    <t>IBPM</t>
  </si>
  <si>
    <t>Elaf Insurance</t>
  </si>
  <si>
    <t>NELF</t>
  </si>
  <si>
    <t>National Islamic Bank</t>
  </si>
  <si>
    <t>BNAI</t>
  </si>
  <si>
    <t>World Islamic Bank for Investment</t>
  </si>
  <si>
    <t>BWOR</t>
  </si>
  <si>
    <t>Mosul Bank For Investment</t>
  </si>
  <si>
    <t>BMFI</t>
  </si>
  <si>
    <t>Al-Ameen Estate Investment</t>
  </si>
  <si>
    <t>SAEI</t>
  </si>
  <si>
    <t>NQAB</t>
  </si>
  <si>
    <t>NGIO</t>
  </si>
  <si>
    <t>Al-Qabas Insurance Company</t>
  </si>
  <si>
    <t>International Insurance Company</t>
  </si>
  <si>
    <t xml:space="preserve"> Animal Production</t>
  </si>
  <si>
    <t>Al Badia Insurance</t>
  </si>
  <si>
    <t>NBAD</t>
  </si>
  <si>
    <t>Total Of Money Service Sector</t>
  </si>
  <si>
    <t>Agricultural Products Meat</t>
  </si>
  <si>
    <t>AIPM</t>
  </si>
  <si>
    <t>First Iraq Bank</t>
  </si>
  <si>
    <t>BFIB</t>
  </si>
  <si>
    <t>Modern for Animal Production</t>
  </si>
  <si>
    <t>AMAP</t>
  </si>
  <si>
    <t>Total Of  Banks Sector</t>
  </si>
  <si>
    <t>ISX Trading Indices of Sunday 18/10/2026</t>
  </si>
  <si>
    <t>Bulletin No (183)</t>
  </si>
  <si>
    <t>Sunday 18/10/2026</t>
  </si>
  <si>
    <t xml:space="preserve">Non-Disclosing Platform Companies Bulletin No (183) </t>
  </si>
  <si>
    <t>Second Platform Market Bulletin No (183)</t>
  </si>
  <si>
    <t xml:space="preserve">Regular Market Bulletin No (183) </t>
  </si>
  <si>
    <t>Iraq Stock Exchange not trading companies of Sunday 18/10/2026</t>
  </si>
  <si>
    <t xml:space="preserve">OTC Platform Trading Bulletin No (183) </t>
  </si>
  <si>
    <t>Not Trading OTC Companies Sunday 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</si>
</sst>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_-* #,##0.00_-;_-* #,##0.00\-;_-* &quot;-&quot;??_-;_-@_-"/>
  </numFmts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b/>
      <sz val="15"/>
      <color rgb="FF00B05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</fills>
  <borders count="14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1" applyNumberFormat="0" applyFont="0" applyAlignment="0" applyProtection="0"/>
    <xf numFmtId="0" fontId="62" fillId="55" borderId="62" applyNumberFormat="0" applyAlignment="0" applyProtection="0"/>
    <xf numFmtId="0" fontId="4" fillId="58" borderId="61" applyNumberFormat="0" applyFont="0" applyAlignment="0" applyProtection="0"/>
    <xf numFmtId="0" fontId="51" fillId="55" borderId="60" applyNumberFormat="0" applyAlignment="0" applyProtection="0"/>
    <xf numFmtId="0" fontId="4" fillId="58" borderId="61" applyNumberFormat="0" applyFont="0" applyAlignment="0" applyProtection="0"/>
    <xf numFmtId="0" fontId="64" fillId="0" borderId="63" applyNumberFormat="0" applyFill="0" applyAlignment="0" applyProtection="0"/>
    <xf numFmtId="0" fontId="62" fillId="55" borderId="62" applyNumberFormat="0" applyAlignment="0" applyProtection="0"/>
    <xf numFmtId="0" fontId="64" fillId="0" borderId="63" applyNumberFormat="0" applyFill="0" applyAlignment="0" applyProtection="0"/>
    <xf numFmtId="0" fontId="58" fillId="42" borderId="60" applyNumberFormat="0" applyAlignment="0" applyProtection="0"/>
    <xf numFmtId="0" fontId="51" fillId="55" borderId="60" applyNumberFormat="0" applyAlignment="0" applyProtection="0"/>
    <xf numFmtId="0" fontId="4" fillId="58" borderId="61" applyNumberFormat="0" applyFont="0" applyAlignment="0" applyProtection="0"/>
    <xf numFmtId="0" fontId="51" fillId="55" borderId="60" applyNumberFormat="0" applyAlignment="0" applyProtection="0"/>
    <xf numFmtId="0" fontId="58" fillId="42" borderId="60" applyNumberFormat="0" applyAlignment="0" applyProtection="0"/>
    <xf numFmtId="0" fontId="51" fillId="55" borderId="60" applyNumberFormat="0" applyAlignment="0" applyProtection="0"/>
    <xf numFmtId="0" fontId="64" fillId="0" borderId="63" applyNumberFormat="0" applyFill="0" applyAlignment="0" applyProtection="0"/>
    <xf numFmtId="0" fontId="62" fillId="55" borderId="62" applyNumberFormat="0" applyAlignment="0" applyProtection="0"/>
    <xf numFmtId="0" fontId="64" fillId="0" borderId="63" applyNumberFormat="0" applyFill="0" applyAlignment="0" applyProtection="0"/>
    <xf numFmtId="0" fontId="4" fillId="58" borderId="61" applyNumberFormat="0" applyFont="0" applyAlignment="0" applyProtection="0"/>
    <xf numFmtId="0" fontId="4" fillId="58" borderId="61" applyNumberFormat="0" applyFont="0" applyAlignment="0" applyProtection="0"/>
    <xf numFmtId="0" fontId="58" fillId="42" borderId="60" applyNumberFormat="0" applyAlignment="0" applyProtection="0"/>
    <xf numFmtId="0" fontId="4" fillId="58" borderId="61" applyNumberFormat="0" applyFont="0" applyAlignment="0" applyProtection="0"/>
    <xf numFmtId="0" fontId="4" fillId="58" borderId="61" applyNumberFormat="0" applyFont="0" applyAlignment="0" applyProtection="0"/>
    <xf numFmtId="0" fontId="62" fillId="55" borderId="62" applyNumberFormat="0" applyAlignment="0" applyProtection="0"/>
    <xf numFmtId="0" fontId="4" fillId="58" borderId="61" applyNumberFormat="0" applyFont="0" applyAlignment="0" applyProtection="0"/>
    <xf numFmtId="0" fontId="4" fillId="58" borderId="61" applyNumberFormat="0" applyFont="0" applyAlignment="0" applyProtection="0"/>
    <xf numFmtId="0" fontId="58" fillId="42" borderId="60" applyNumberFormat="0" applyAlignment="0" applyProtection="0"/>
    <xf numFmtId="0" fontId="51" fillId="55" borderId="60" applyNumberFormat="0" applyAlignment="0" applyProtection="0"/>
    <xf numFmtId="0" fontId="51" fillId="55" borderId="60" applyNumberFormat="0" applyAlignment="0" applyProtection="0"/>
    <xf numFmtId="0" fontId="64" fillId="0" borderId="63" applyNumberFormat="0" applyFill="0" applyAlignment="0" applyProtection="0"/>
    <xf numFmtId="0" fontId="64" fillId="0" borderId="63" applyNumberFormat="0" applyFill="0" applyAlignment="0" applyProtection="0"/>
    <xf numFmtId="0" fontId="58" fillId="42" borderId="60" applyNumberFormat="0" applyAlignment="0" applyProtection="0"/>
    <xf numFmtId="0" fontId="4" fillId="58" borderId="61" applyNumberFormat="0" applyFont="0" applyAlignment="0" applyProtection="0"/>
    <xf numFmtId="0" fontId="62" fillId="55" borderId="62" applyNumberFormat="0" applyAlignment="0" applyProtection="0"/>
    <xf numFmtId="0" fontId="4" fillId="58" borderId="61" applyNumberFormat="0" applyFont="0" applyAlignment="0" applyProtection="0"/>
    <xf numFmtId="0" fontId="58" fillId="42" borderId="60" applyNumberFormat="0" applyAlignment="0" applyProtection="0"/>
    <xf numFmtId="0" fontId="62" fillId="55" borderId="62" applyNumberFormat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58" fillId="42" borderId="65" applyNumberFormat="0" applyAlignment="0" applyProtection="0"/>
    <xf numFmtId="0" fontId="51" fillId="55" borderId="65" applyNumberForma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58" fillId="42" borderId="65" applyNumberFormat="0" applyAlignment="0" applyProtection="0"/>
    <xf numFmtId="0" fontId="51" fillId="55" borderId="65" applyNumberForma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65" applyNumberFormat="0" applyAlignment="0" applyProtection="0"/>
    <xf numFmtId="0" fontId="58" fillId="42" borderId="65" applyNumberFormat="0" applyAlignment="0" applyProtection="0"/>
    <xf numFmtId="0" fontId="4" fillId="58" borderId="66" applyNumberFormat="0" applyFont="0" applyAlignment="0" applyProtection="0"/>
    <xf numFmtId="0" fontId="4" fillId="58" borderId="66" applyNumberFormat="0" applyFont="0" applyAlignment="0" applyProtection="0"/>
    <xf numFmtId="0" fontId="62" fillId="55" borderId="67" applyNumberFormat="0" applyAlignment="0" applyProtection="0"/>
    <xf numFmtId="0" fontId="64" fillId="0" borderId="68" applyNumberFormat="0" applyFill="0" applyAlignment="0" applyProtection="0"/>
    <xf numFmtId="0" fontId="51" fillId="55" borderId="75" applyNumberFormat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58" fillId="42" borderId="75" applyNumberFormat="0" applyAlignment="0" applyProtection="0"/>
    <xf numFmtId="0" fontId="51" fillId="55" borderId="75" applyNumberForma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5" applyNumberFormat="0" applyAlignment="0" applyProtection="0"/>
    <xf numFmtId="0" fontId="58" fillId="42" borderId="75" applyNumberFormat="0" applyAlignment="0" applyProtection="0"/>
    <xf numFmtId="0" fontId="4" fillId="58" borderId="76" applyNumberFormat="0" applyFont="0" applyAlignment="0" applyProtection="0"/>
    <xf numFmtId="0" fontId="4" fillId="58" borderId="76" applyNumberFormat="0" applyFont="0" applyAlignment="0" applyProtection="0"/>
    <xf numFmtId="0" fontId="62" fillId="55" borderId="77" applyNumberFormat="0" applyAlignment="0" applyProtection="0"/>
    <xf numFmtId="0" fontId="64" fillId="0" borderId="78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76" applyNumberFormat="0" applyFont="0" applyAlignment="0" applyProtection="0"/>
    <xf numFmtId="0" fontId="51" fillId="55" borderId="79" applyNumberFormat="0" applyAlignment="0" applyProtection="0"/>
    <xf numFmtId="0" fontId="4" fillId="58" borderId="80" applyNumberFormat="0" applyFont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4" fillId="58" borderId="80" applyNumberFormat="0" applyFont="0" applyAlignment="0" applyProtection="0"/>
    <xf numFmtId="0" fontId="51" fillId="55" borderId="79" applyNumberFormat="0" applyAlignment="0" applyProtection="0"/>
    <xf numFmtId="0" fontId="4" fillId="58" borderId="80" applyNumberFormat="0" applyFont="0" applyAlignment="0" applyProtection="0"/>
    <xf numFmtId="0" fontId="64" fillId="0" borderId="82" applyNumberFormat="0" applyFill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4" fillId="58" borderId="80" applyNumberFormat="0" applyFont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4" fillId="0" borderId="82" applyNumberFormat="0" applyFill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51" fillId="55" borderId="79" applyNumberFormat="0" applyAlignment="0" applyProtection="0"/>
    <xf numFmtId="0" fontId="64" fillId="0" borderId="82" applyNumberFormat="0" applyFill="0" applyAlignment="0" applyProtection="0"/>
    <xf numFmtId="0" fontId="64" fillId="0" borderId="82" applyNumberFormat="0" applyFill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62" fillId="55" borderId="81" applyNumberFormat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58" fillId="42" borderId="79" applyNumberFormat="0" applyAlignment="0" applyProtection="0"/>
    <xf numFmtId="0" fontId="51" fillId="55" borderId="79" applyNumberForma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51" fillId="55" borderId="79" applyNumberFormat="0" applyAlignment="0" applyProtection="0"/>
    <xf numFmtId="0" fontId="58" fillId="42" borderId="79" applyNumberFormat="0" applyAlignment="0" applyProtection="0"/>
    <xf numFmtId="0" fontId="4" fillId="58" borderId="80" applyNumberFormat="0" applyFont="0" applyAlignment="0" applyProtection="0"/>
    <xf numFmtId="0" fontId="4" fillId="58" borderId="80" applyNumberFormat="0" applyFont="0" applyAlignment="0" applyProtection="0"/>
    <xf numFmtId="0" fontId="62" fillId="55" borderId="81" applyNumberFormat="0" applyAlignment="0" applyProtection="0"/>
    <xf numFmtId="0" fontId="64" fillId="0" borderId="82" applyNumberFormat="0" applyFill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83" applyNumberFormat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58" fillId="42" borderId="83" applyNumberFormat="0" applyAlignment="0" applyProtection="0"/>
    <xf numFmtId="0" fontId="51" fillId="55" borderId="83" applyNumberForma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3" applyNumberFormat="0" applyAlignment="0" applyProtection="0"/>
    <xf numFmtId="0" fontId="58" fillId="42" borderId="83" applyNumberFormat="0" applyAlignment="0" applyProtection="0"/>
    <xf numFmtId="0" fontId="4" fillId="58" borderId="84" applyNumberFormat="0" applyFont="0" applyAlignment="0" applyProtection="0"/>
    <xf numFmtId="0" fontId="4" fillId="58" borderId="84" applyNumberFormat="0" applyFont="0" applyAlignment="0" applyProtection="0"/>
    <xf numFmtId="0" fontId="62" fillId="55" borderId="85" applyNumberFormat="0" applyAlignment="0" applyProtection="0"/>
    <xf numFmtId="0" fontId="64" fillId="0" borderId="86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4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62" fillId="55" borderId="89" applyNumberForma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4" fillId="58" borderId="88" applyNumberFormat="0" applyFon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51" fillId="55" borderId="87" applyNumberFormat="0" applyAlignment="0" applyProtection="0"/>
    <xf numFmtId="0" fontId="64" fillId="0" borderId="90" applyNumberFormat="0" applyFill="0" applyAlignment="0" applyProtection="0"/>
    <xf numFmtId="0" fontId="64" fillId="0" borderId="90" applyNumberFormat="0" applyFill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62" fillId="55" borderId="89" applyNumberFormat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58" fillId="42" borderId="87" applyNumberFormat="0" applyAlignment="0" applyProtection="0"/>
    <xf numFmtId="0" fontId="51" fillId="55" borderId="87" applyNumberForma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51" fillId="55" borderId="87" applyNumberFormat="0" applyAlignment="0" applyProtection="0"/>
    <xf numFmtId="0" fontId="58" fillId="42" borderId="87" applyNumberFormat="0" applyAlignment="0" applyProtection="0"/>
    <xf numFmtId="0" fontId="4" fillId="58" borderId="88" applyNumberFormat="0" applyFont="0" applyAlignment="0" applyProtection="0"/>
    <xf numFmtId="0" fontId="4" fillId="58" borderId="88" applyNumberFormat="0" applyFont="0" applyAlignment="0" applyProtection="0"/>
    <xf numFmtId="0" fontId="62" fillId="55" borderId="89" applyNumberFormat="0" applyAlignment="0" applyProtection="0"/>
    <xf numFmtId="0" fontId="64" fillId="0" borderId="90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62" fillId="55" borderId="93" applyNumberForma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4" fillId="58" borderId="92" applyNumberFormat="0" applyFon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51" fillId="55" borderId="91" applyNumberFormat="0" applyAlignment="0" applyProtection="0"/>
    <xf numFmtId="0" fontId="64" fillId="0" borderId="94" applyNumberFormat="0" applyFill="0" applyAlignment="0" applyProtection="0"/>
    <xf numFmtId="0" fontId="64" fillId="0" borderId="94" applyNumberFormat="0" applyFill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62" fillId="55" borderId="93" applyNumberFormat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58" fillId="42" borderId="91" applyNumberFormat="0" applyAlignment="0" applyProtection="0"/>
    <xf numFmtId="0" fontId="51" fillId="55" borderId="91" applyNumberForma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1" applyNumberFormat="0" applyAlignment="0" applyProtection="0"/>
    <xf numFmtId="0" fontId="58" fillId="42" borderId="91" applyNumberFormat="0" applyAlignment="0" applyProtection="0"/>
    <xf numFmtId="0" fontId="4" fillId="58" borderId="92" applyNumberFormat="0" applyFont="0" applyAlignment="0" applyProtection="0"/>
    <xf numFmtId="0" fontId="4" fillId="58" borderId="92" applyNumberFormat="0" applyFont="0" applyAlignment="0" applyProtection="0"/>
    <xf numFmtId="0" fontId="62" fillId="55" borderId="93" applyNumberFormat="0" applyAlignment="0" applyProtection="0"/>
    <xf numFmtId="0" fontId="64" fillId="0" borderId="94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62" fillId="55" borderId="100" applyNumberForma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4" fillId="58" borderId="99" applyNumberFormat="0" applyFon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51" fillId="55" borderId="98" applyNumberFormat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62" fillId="55" borderId="100" applyNumberFormat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98" applyNumberFormat="0" applyAlignment="0" applyProtection="0"/>
    <xf numFmtId="0" fontId="51" fillId="55" borderId="98" applyNumberForma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98" applyNumberFormat="0" applyAlignment="0" applyProtection="0"/>
    <xf numFmtId="0" fontId="58" fillId="42" borderId="98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0" applyNumberFormat="0" applyAlignment="0" applyProtection="0"/>
    <xf numFmtId="0" fontId="64" fillId="0" borderId="101" applyNumberFormat="0" applyFill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4" fillId="58" borderId="105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105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105" applyNumberFormat="0" applyFont="0" applyAlignment="0" applyProtection="0"/>
    <xf numFmtId="0" fontId="4" fillId="58" borderId="105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4" fillId="58" borderId="99" applyNumberFormat="0" applyFon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4" fillId="58" borderId="99" applyNumberFormat="0" applyFont="0" applyAlignment="0" applyProtection="0"/>
    <xf numFmtId="0" fontId="4" fillId="58" borderId="99" applyNumberFormat="0" applyFon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51" fillId="55" borderId="104" applyNumberFormat="0" applyAlignment="0" applyProtection="0"/>
    <xf numFmtId="0" fontId="64" fillId="0" borderId="103" applyNumberFormat="0" applyFill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8" fillId="42" borderId="104" applyNumberFormat="0" applyAlignment="0" applyProtection="0"/>
    <xf numFmtId="0" fontId="51" fillId="55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51" fillId="55" borderId="104" applyNumberFormat="0" applyAlignment="0" applyProtection="0"/>
    <xf numFmtId="0" fontId="58" fillId="42" borderId="104" applyNumberFormat="0" applyAlignment="0" applyProtection="0"/>
    <xf numFmtId="0" fontId="62" fillId="55" borderId="102" applyNumberFormat="0" applyAlignment="0" applyProtection="0"/>
    <xf numFmtId="0" fontId="64" fillId="0" borderId="103" applyNumberFormat="0" applyFill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4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1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4" fillId="58" borderId="107" applyNumberFormat="0" applyFon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51" fillId="55" borderId="106" applyNumberFormat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62" fillId="55" borderId="108" applyNumberFormat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06" applyNumberFormat="0" applyAlignment="0" applyProtection="0"/>
    <xf numFmtId="0" fontId="51" fillId="55" borderId="106" applyNumberForma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06" applyNumberFormat="0" applyAlignment="0" applyProtection="0"/>
    <xf numFmtId="0" fontId="58" fillId="42" borderId="106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08" applyNumberFormat="0" applyAlignment="0" applyProtection="0"/>
    <xf numFmtId="0" fontId="64" fillId="0" borderId="109" applyNumberFormat="0" applyFill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4" fillId="58" borderId="113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13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13" applyNumberFormat="0" applyFont="0" applyAlignment="0" applyProtection="0"/>
    <xf numFmtId="0" fontId="4" fillId="58" borderId="113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4" fillId="58" borderId="107" applyNumberFormat="0" applyFon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4" fillId="58" borderId="107" applyNumberFormat="0" applyFont="0" applyAlignment="0" applyProtection="0"/>
    <xf numFmtId="0" fontId="4" fillId="58" borderId="107" applyNumberFormat="0" applyFon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51" fillId="55" borderId="112" applyNumberFormat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8" fillId="42" borderId="112" applyNumberFormat="0" applyAlignment="0" applyProtection="0"/>
    <xf numFmtId="0" fontId="51" fillId="55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2" applyNumberFormat="0" applyAlignment="0" applyProtection="0"/>
    <xf numFmtId="0" fontId="58" fillId="42" borderId="112" applyNumberFormat="0" applyAlignment="0" applyProtection="0"/>
    <xf numFmtId="0" fontId="62" fillId="55" borderId="110" applyNumberFormat="0" applyAlignment="0" applyProtection="0"/>
    <xf numFmtId="0" fontId="64" fillId="0" borderId="111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4" fillId="58" borderId="115" applyNumberFormat="0" applyFon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4" fillId="58" borderId="115" applyNumberFormat="0" applyFont="0" applyAlignment="0" applyProtection="0"/>
    <xf numFmtId="0" fontId="4" fillId="58" borderId="115" applyNumberFormat="0" applyFon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51" fillId="55" borderId="114" applyNumberFormat="0" applyAlignment="0" applyProtection="0"/>
    <xf numFmtId="0" fontId="64" fillId="0" borderId="117" applyNumberFormat="0" applyFill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8" fillId="42" borderId="114" applyNumberFormat="0" applyAlignment="0" applyProtection="0"/>
    <xf numFmtId="0" fontId="51" fillId="55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4" applyNumberFormat="0" applyAlignment="0" applyProtection="0"/>
    <xf numFmtId="0" fontId="58" fillId="42" borderId="114" applyNumberFormat="0" applyAlignment="0" applyProtection="0"/>
    <xf numFmtId="0" fontId="62" fillId="55" borderId="116" applyNumberFormat="0" applyAlignment="0" applyProtection="0"/>
    <xf numFmtId="0" fontId="64" fillId="0" borderId="117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4" fillId="58" borderId="119" applyNumberFormat="0" applyFon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4" fillId="58" borderId="119" applyNumberFormat="0" applyFont="0" applyAlignment="0" applyProtection="0"/>
    <xf numFmtId="0" fontId="4" fillId="58" borderId="119" applyNumberFormat="0" applyFon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51" fillId="55" borderId="118" applyNumberFormat="0" applyAlignment="0" applyProtection="0"/>
    <xf numFmtId="0" fontId="64" fillId="0" borderId="121" applyNumberFormat="0" applyFill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8" fillId="42" borderId="118" applyNumberFormat="0" applyAlignment="0" applyProtection="0"/>
    <xf numFmtId="0" fontId="51" fillId="55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  <xf numFmtId="0" fontId="51" fillId="55" borderId="118" applyNumberFormat="0" applyAlignment="0" applyProtection="0"/>
    <xf numFmtId="0" fontId="58" fillId="42" borderId="118" applyNumberFormat="0" applyAlignment="0" applyProtection="0"/>
    <xf numFmtId="0" fontId="62" fillId="55" borderId="120" applyNumberFormat="0" applyAlignment="0" applyProtection="0"/>
    <xf numFmtId="0" fontId="64" fillId="0" borderId="121" applyNumberFormat="0" applyFill="0" applyAlignment="0" applyProtection="0"/>
  </cellStyleXfs>
  <cellXfs count="249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4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69" xfId="1" applyFont="1" applyFill="1" applyBorder="1" applyAlignment="1">
      <alignment horizontal="center" vertical="center" wrapText="1"/>
    </xf>
    <xf numFmtId="0" fontId="8" fillId="5" borderId="70" xfId="1" applyFont="1" applyFill="1" applyBorder="1" applyAlignment="1">
      <alignment horizontal="center" vertical="center" wrapText="1"/>
    </xf>
    <xf numFmtId="4" fontId="8" fillId="5" borderId="70" xfId="1" applyNumberFormat="1" applyFont="1" applyFill="1" applyBorder="1" applyAlignment="1">
      <alignment horizontal="center" vertical="center" wrapText="1"/>
    </xf>
    <xf numFmtId="3" fontId="8" fillId="5" borderId="70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4" xfId="0" applyNumberFormat="1" applyFont="1" applyFill="1" applyBorder="1" applyAlignment="1">
      <alignment horizontal="center" vertical="center"/>
    </xf>
    <xf numFmtId="4" fontId="8" fillId="3" borderId="124" xfId="0" applyNumberFormat="1" applyFont="1" applyFill="1" applyBorder="1" applyAlignment="1">
      <alignment horizontal="center" vertical="center"/>
    </xf>
    <xf numFmtId="0" fontId="8" fillId="3" borderId="123" xfId="0" applyFont="1" applyFill="1" applyBorder="1" applyAlignment="1">
      <alignment horizontal="center" vertical="center"/>
    </xf>
    <xf numFmtId="3" fontId="8" fillId="3" borderId="124" xfId="0" applyNumberFormat="1" applyFont="1" applyFill="1" applyBorder="1" applyAlignment="1">
      <alignment horizontal="center" vertical="center"/>
    </xf>
    <xf numFmtId="3" fontId="8" fillId="0" borderId="124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75" fillId="3" borderId="124" xfId="0" applyNumberFormat="1" applyFont="1" applyFill="1" applyBorder="1" applyAlignment="1">
      <alignment horizontal="center" vertical="center"/>
    </xf>
    <xf numFmtId="4" fontId="76" fillId="3" borderId="124" xfId="0" applyNumberFormat="1" applyFont="1" applyFill="1" applyBorder="1" applyAlignment="1">
      <alignment horizontal="center" vertical="center"/>
    </xf>
    <xf numFmtId="0" fontId="8" fillId="3" borderId="127" xfId="0" applyFont="1" applyFill="1" applyBorder="1" applyAlignment="1">
      <alignment horizontal="left" vertical="center"/>
    </xf>
    <xf numFmtId="0" fontId="8" fillId="3" borderId="127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29" xfId="0" applyFont="1" applyFill="1" applyBorder="1" applyAlignment="1">
      <alignment horizontal="center" vertical="center"/>
    </xf>
    <xf numFmtId="3" fontId="8" fillId="3" borderId="130" xfId="0" applyNumberFormat="1" applyFont="1" applyFill="1" applyBorder="1" applyAlignment="1">
      <alignment horizontal="center" vertical="center"/>
    </xf>
    <xf numFmtId="164" fontId="8" fillId="3" borderId="130" xfId="0" applyNumberFormat="1" applyFont="1" applyFill="1" applyBorder="1" applyAlignment="1">
      <alignment horizontal="center" vertical="center"/>
    </xf>
    <xf numFmtId="4" fontId="8" fillId="3" borderId="130" xfId="0" applyNumberFormat="1" applyFont="1" applyFill="1" applyBorder="1" applyAlignment="1">
      <alignment horizontal="center" vertical="center"/>
    </xf>
    <xf numFmtId="0" fontId="6" fillId="3" borderId="130" xfId="1" applyFont="1" applyFill="1" applyBorder="1" applyAlignment="1">
      <alignment horizontal="left" vertical="center"/>
    </xf>
    <xf numFmtId="165" fontId="6" fillId="0" borderId="130" xfId="1" applyNumberFormat="1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3" fontId="77" fillId="0" borderId="130" xfId="0" applyNumberFormat="1" applyFont="1" applyBorder="1" applyAlignment="1">
      <alignment horizontal="center" vertical="center"/>
    </xf>
    <xf numFmtId="0" fontId="8" fillId="3" borderId="130" xfId="0" applyFont="1" applyFill="1" applyBorder="1" applyAlignment="1">
      <alignment horizontal="left" vertical="center"/>
    </xf>
    <xf numFmtId="0" fontId="8" fillId="3" borderId="130" xfId="0" applyFont="1" applyFill="1" applyBorder="1" applyAlignment="1">
      <alignment vertical="center"/>
    </xf>
    <xf numFmtId="3" fontId="6" fillId="0" borderId="130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0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69" xfId="1" applyFont="1" applyFill="1" applyBorder="1" applyAlignment="1">
      <alignment horizontal="center" vertical="center" wrapText="1"/>
    </xf>
    <xf numFmtId="0" fontId="6" fillId="4" borderId="70" xfId="1" applyFont="1" applyFill="1" applyBorder="1" applyAlignment="1">
      <alignment horizontal="center" vertical="center" wrapText="1"/>
    </xf>
    <xf numFmtId="3" fontId="6" fillId="4" borderId="70" xfId="1" applyNumberFormat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0" fontId="8" fillId="0" borderId="130" xfId="0" applyFont="1" applyBorder="1" applyAlignment="1">
      <alignment horizontal="left" vertical="center"/>
    </xf>
    <xf numFmtId="0" fontId="8" fillId="0" borderId="130" xfId="0" applyFont="1" applyBorder="1" applyAlignment="1">
      <alignment horizontal="center" vertical="center"/>
    </xf>
    <xf numFmtId="165" fontId="77" fillId="0" borderId="130" xfId="0" applyNumberFormat="1" applyFont="1" applyBorder="1" applyAlignment="1">
      <alignment horizontal="center" vertical="center"/>
    </xf>
    <xf numFmtId="0" fontId="8" fillId="0" borderId="138" xfId="1" applyFont="1" applyBorder="1" applyAlignment="1">
      <alignment vertical="center"/>
    </xf>
    <xf numFmtId="3" fontId="8" fillId="0" borderId="130" xfId="0" applyNumberFormat="1" applyFont="1" applyBorder="1" applyAlignment="1">
      <alignment horizontal="center" vertical="center"/>
    </xf>
    <xf numFmtId="0" fontId="8" fillId="59" borderId="130" xfId="1" applyFont="1" applyFill="1" applyBorder="1" applyAlignment="1">
      <alignment vertical="center"/>
    </xf>
    <xf numFmtId="3" fontId="8" fillId="59" borderId="130" xfId="0" applyNumberFormat="1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4" fontId="8" fillId="3" borderId="9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3" fontId="14" fillId="0" borderId="0" xfId="0" applyNumberFormat="1" applyFont="1"/>
    <xf numFmtId="4" fontId="79" fillId="0" borderId="9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5" fillId="0" borderId="14" xfId="0" applyNumberFormat="1" applyFont="1" applyBorder="1" applyAlignment="1">
      <alignment horizontal="left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0" fontId="72" fillId="2" borderId="136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29" xfId="0" applyFont="1" applyBorder="1" applyAlignment="1">
      <alignment horizontal="center" vertical="center"/>
    </xf>
    <xf numFmtId="0" fontId="8" fillId="0" borderId="135" xfId="0" applyFont="1" applyBorder="1" applyAlignment="1">
      <alignment horizontal="center" vertical="center"/>
    </xf>
    <xf numFmtId="0" fontId="8" fillId="0" borderId="131" xfId="0" applyFont="1" applyBorder="1" applyAlignment="1">
      <alignment horizontal="center" vertical="center"/>
    </xf>
    <xf numFmtId="0" fontId="8" fillId="3" borderId="129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horizontal="left" vertical="center"/>
    </xf>
    <xf numFmtId="2" fontId="74" fillId="3" borderId="129" xfId="0" applyNumberFormat="1" applyFont="1" applyFill="1" applyBorder="1" applyAlignment="1">
      <alignment horizontal="center"/>
    </xf>
    <xf numFmtId="2" fontId="74" fillId="3" borderId="135" xfId="0" applyNumberFormat="1" applyFont="1" applyFill="1" applyBorder="1" applyAlignment="1">
      <alignment horizontal="center"/>
    </xf>
    <xf numFmtId="2" fontId="74" fillId="3" borderId="131" xfId="0" applyNumberFormat="1" applyFont="1" applyFill="1" applyBorder="1" applyAlignment="1">
      <alignment horizontal="center"/>
    </xf>
    <xf numFmtId="0" fontId="8" fillId="0" borderId="96" xfId="0" applyFont="1" applyBorder="1" applyAlignment="1">
      <alignment horizontal="center" vertical="center"/>
    </xf>
    <xf numFmtId="164" fontId="8" fillId="5" borderId="129" xfId="0" applyNumberFormat="1" applyFont="1" applyFill="1" applyBorder="1" applyAlignment="1">
      <alignment horizontal="center" vertical="center"/>
    </xf>
    <xf numFmtId="164" fontId="8" fillId="5" borderId="135" xfId="0" applyNumberFormat="1" applyFont="1" applyFill="1" applyBorder="1" applyAlignment="1">
      <alignment horizontal="center" vertical="center"/>
    </xf>
    <xf numFmtId="164" fontId="8" fillId="5" borderId="131" xfId="0" applyNumberFormat="1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left" vertical="center"/>
    </xf>
    <xf numFmtId="0" fontId="8" fillId="3" borderId="146" xfId="0" applyFont="1" applyFill="1" applyBorder="1" applyAlignment="1">
      <alignment horizontal="left" vertical="center"/>
    </xf>
    <xf numFmtId="2" fontId="74" fillId="3" borderId="35" xfId="0" applyNumberFormat="1" applyFont="1" applyFill="1" applyBorder="1" applyAlignment="1">
      <alignment horizontal="center"/>
    </xf>
    <xf numFmtId="2" fontId="74" fillId="3" borderId="145" xfId="0" applyNumberFormat="1" applyFont="1" applyFill="1" applyBorder="1" applyAlignment="1">
      <alignment horizontal="center"/>
    </xf>
    <xf numFmtId="2" fontId="74" fillId="3" borderId="146" xfId="0" applyNumberFormat="1" applyFont="1" applyFill="1" applyBorder="1" applyAlignment="1">
      <alignment horizontal="center"/>
    </xf>
    <xf numFmtId="0" fontId="69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8" fillId="0" borderId="72" xfId="1892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8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129" xfId="1892" applyFont="1" applyBorder="1" applyAlignment="1">
      <alignment horizontal="center" vertical="center"/>
    </xf>
    <xf numFmtId="0" fontId="8" fillId="0" borderId="135" xfId="1892" applyFont="1" applyBorder="1" applyAlignment="1">
      <alignment horizontal="center" vertical="center"/>
    </xf>
    <xf numFmtId="0" fontId="8" fillId="0" borderId="131" xfId="1892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7" xfId="0" applyFont="1" applyBorder="1" applyAlignment="1">
      <alignment horizontal="center" vertical="center"/>
    </xf>
    <xf numFmtId="0" fontId="6" fillId="0" borderId="129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/>
    </xf>
    <xf numFmtId="164" fontId="8" fillId="0" borderId="129" xfId="0" applyNumberFormat="1" applyFont="1" applyBorder="1" applyAlignment="1">
      <alignment horizontal="center" vertical="center"/>
    </xf>
    <xf numFmtId="164" fontId="8" fillId="0" borderId="96" xfId="0" applyNumberFormat="1" applyFont="1" applyBorder="1" applyAlignment="1">
      <alignment horizontal="center" vertical="center"/>
    </xf>
    <xf numFmtId="164" fontId="8" fillId="0" borderId="122" xfId="0" applyNumberFormat="1" applyFont="1" applyBorder="1" applyAlignment="1">
      <alignment horizontal="center" vertical="center"/>
    </xf>
    <xf numFmtId="0" fontId="8" fillId="59" borderId="35" xfId="0" applyFont="1" applyFill="1" applyBorder="1" applyAlignment="1">
      <alignment horizontal="center"/>
    </xf>
    <xf numFmtId="0" fontId="8" fillId="59" borderId="143" xfId="0" applyFont="1" applyFill="1" applyBorder="1" applyAlignment="1">
      <alignment horizontal="center"/>
    </xf>
    <xf numFmtId="0" fontId="8" fillId="59" borderId="144" xfId="0" applyFont="1" applyFill="1" applyBorder="1" applyAlignment="1">
      <alignment horizontal="center"/>
    </xf>
    <xf numFmtId="164" fontId="8" fillId="0" borderId="139" xfId="0" applyNumberFormat="1" applyFont="1" applyBorder="1" applyAlignment="1">
      <alignment horizontal="center" vertical="center"/>
    </xf>
    <xf numFmtId="164" fontId="8" fillId="0" borderId="140" xfId="0" applyNumberFormat="1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129" xfId="1" applyFont="1" applyBorder="1" applyAlignment="1">
      <alignment horizontal="left" vertical="center"/>
    </xf>
    <xf numFmtId="0" fontId="8" fillId="0" borderId="96" xfId="1" applyFont="1" applyBorder="1" applyAlignment="1">
      <alignment horizontal="left" vertical="center"/>
    </xf>
    <xf numFmtId="0" fontId="8" fillId="0" borderId="131" xfId="1" applyFont="1" applyBorder="1" applyAlignment="1">
      <alignment horizontal="left" vertical="center"/>
    </xf>
    <xf numFmtId="164" fontId="8" fillId="0" borderId="131" xfId="0" applyNumberFormat="1" applyFont="1" applyBorder="1" applyAlignment="1">
      <alignment horizontal="center" vertical="center"/>
    </xf>
    <xf numFmtId="0" fontId="8" fillId="0" borderId="72" xfId="1" applyFont="1" applyBorder="1" applyAlignment="1">
      <alignment horizontal="left"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164" fontId="8" fillId="0" borderId="72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164" fontId="8" fillId="0" borderId="73" xfId="0" applyNumberFormat="1" applyFont="1" applyBorder="1" applyAlignment="1">
      <alignment horizontal="center" vertical="center"/>
    </xf>
    <xf numFmtId="0" fontId="8" fillId="0" borderId="126" xfId="1" applyFont="1" applyBorder="1" applyAlignment="1">
      <alignment horizontal="left" vertical="center"/>
    </xf>
    <xf numFmtId="0" fontId="8" fillId="0" borderId="122" xfId="1" applyFont="1" applyBorder="1" applyAlignment="1">
      <alignment horizontal="left" vertical="center"/>
    </xf>
    <xf numFmtId="164" fontId="8" fillId="0" borderId="126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horizontal="left" vertical="center"/>
    </xf>
    <xf numFmtId="0" fontId="8" fillId="0" borderId="140" xfId="1" applyFont="1" applyBorder="1" applyAlignment="1">
      <alignment horizontal="left" vertical="center"/>
    </xf>
    <xf numFmtId="0" fontId="8" fillId="0" borderId="130" xfId="0" applyFont="1" applyBorder="1" applyAlignment="1">
      <alignment horizontal="center" vertical="center"/>
    </xf>
    <xf numFmtId="0" fontId="8" fillId="3" borderId="128" xfId="1" applyFont="1" applyFill="1" applyBorder="1" applyAlignment="1">
      <alignment horizontal="center" vertical="center" wrapText="1"/>
    </xf>
    <xf numFmtId="0" fontId="8" fillId="3" borderId="96" xfId="1" applyFont="1" applyFill="1" applyBorder="1" applyAlignment="1">
      <alignment horizontal="center" vertical="center" wrapText="1"/>
    </xf>
    <xf numFmtId="0" fontId="8" fillId="3" borderId="122" xfId="1" applyFont="1" applyFill="1" applyBorder="1" applyAlignment="1">
      <alignment horizontal="center" vertical="center" wrapText="1"/>
    </xf>
    <xf numFmtId="0" fontId="8" fillId="0" borderId="35" xfId="1" applyFont="1" applyBorder="1" applyAlignment="1">
      <alignment horizontal="left" vertical="center"/>
    </xf>
    <xf numFmtId="0" fontId="8" fillId="0" borderId="141" xfId="1" applyFont="1" applyBorder="1" applyAlignment="1">
      <alignment horizontal="left" vertical="center"/>
    </xf>
    <xf numFmtId="0" fontId="8" fillId="0" borderId="142" xfId="1" applyFont="1" applyBorder="1" applyAlignment="1">
      <alignment horizontal="left" vertical="center"/>
    </xf>
    <xf numFmtId="164" fontId="8" fillId="0" borderId="35" xfId="0" applyNumberFormat="1" applyFont="1" applyBorder="1" applyAlignment="1">
      <alignment horizontal="center" vertical="center"/>
    </xf>
    <xf numFmtId="164" fontId="8" fillId="0" borderId="142" xfId="0" applyNumberFormat="1" applyFont="1" applyBorder="1" applyAlignment="1">
      <alignment horizontal="center" vertical="center"/>
    </xf>
    <xf numFmtId="164" fontId="8" fillId="0" borderId="141" xfId="0" applyNumberFormat="1" applyFont="1" applyBorder="1" applyAlignment="1">
      <alignment horizontal="center" vertical="center"/>
    </xf>
    <xf numFmtId="0" fontId="8" fillId="0" borderId="135" xfId="1" applyFont="1" applyBorder="1" applyAlignment="1">
      <alignment horizontal="left" vertical="center"/>
    </xf>
    <xf numFmtId="164" fontId="8" fillId="0" borderId="135" xfId="0" applyNumberFormat="1" applyFont="1" applyBorder="1" applyAlignment="1">
      <alignment horizontal="center" vertical="center"/>
    </xf>
    <xf numFmtId="0" fontId="70" fillId="0" borderId="18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6" fillId="4" borderId="96" xfId="1" applyFont="1" applyFill="1" applyBorder="1" applyAlignment="1">
      <alignment horizontal="center" vertical="center" wrapText="1"/>
    </xf>
    <xf numFmtId="0" fontId="6" fillId="4" borderId="122" xfId="1" applyFont="1" applyFill="1" applyBorder="1" applyAlignment="1">
      <alignment horizontal="center" vertical="center" wrapText="1"/>
    </xf>
    <xf numFmtId="0" fontId="6" fillId="4" borderId="128" xfId="1" applyFont="1" applyFill="1" applyBorder="1" applyAlignment="1">
      <alignment horizontal="center" vertical="center" wrapText="1"/>
    </xf>
    <xf numFmtId="0" fontId="8" fillId="0" borderId="95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6</xdr:col>
      <xdr:colOff>1285875</xdr:colOff>
      <xdr:row>23</xdr:row>
      <xdr:rowOff>628650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8D70E-EEB2-A3DF-1B33-B637ECF0B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933950"/>
          <a:ext cx="5895975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1304925</xdr:colOff>
      <xdr:row>16</xdr:row>
      <xdr:rowOff>0</xdr:rowOff>
    </xdr:from>
    <xdr:to>
      <xdr:col>13</xdr:col>
      <xdr:colOff>2476500</xdr:colOff>
      <xdr:row>23</xdr:row>
      <xdr:rowOff>628650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098D57-42CF-7D5D-2054-55A4368C9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8875" y="4933950"/>
          <a:ext cx="6067425" cy="3495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6</xdr:row>
      <xdr:rowOff>0</xdr:rowOff>
    </xdr:from>
    <xdr:to>
      <xdr:col>13</xdr:col>
      <xdr:colOff>2476500</xdr:colOff>
      <xdr:row>14</xdr:row>
      <xdr:rowOff>59980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A18817-EFAB-289E-B6B5-799111FE2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43975" y="1857375"/>
          <a:ext cx="3362325" cy="2574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0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C8BD6-24A9-4ACD-A241-BAE84A2C2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5915025"/>
          <a:ext cx="4857750" cy="2828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11</xdr:col>
      <xdr:colOff>0</xdr:colOff>
      <xdr:row>29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49FFB-9B04-E6DB-817C-016180821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1725" y="5915025"/>
          <a:ext cx="5019675" cy="2838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37</xdr:row>
      <xdr:rowOff>17911</xdr:rowOff>
    </xdr:from>
    <xdr:to>
      <xdr:col>13</xdr:col>
      <xdr:colOff>1552894</xdr:colOff>
      <xdr:row>37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1074450</xdr:colOff>
      <xdr:row>56</xdr:row>
      <xdr:rowOff>17393</xdr:rowOff>
    </xdr:from>
    <xdr:to>
      <xdr:col>13</xdr:col>
      <xdr:colOff>1507139</xdr:colOff>
      <xdr:row>56</xdr:row>
      <xdr:rowOff>445455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4619" y="11915571"/>
          <a:ext cx="432689" cy="4280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563563</xdr:colOff>
      <xdr:row>0</xdr:row>
      <xdr:rowOff>0</xdr:rowOff>
    </xdr:from>
    <xdr:to>
      <xdr:col>8</xdr:col>
      <xdr:colOff>1513356</xdr:colOff>
      <xdr:row>5</xdr:row>
      <xdr:rowOff>177171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438" y="0"/>
          <a:ext cx="949793" cy="10264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Normal="100" workbookViewId="0">
      <selection activeCell="Q7" sqref="Q7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32" t="s">
        <v>0</v>
      </c>
      <c r="C1" s="133"/>
      <c r="D1" s="134"/>
      <c r="E1" s="135"/>
      <c r="F1" s="136"/>
      <c r="G1" s="136"/>
      <c r="H1" s="136"/>
      <c r="I1" s="136"/>
      <c r="J1" s="136"/>
      <c r="K1" s="137"/>
      <c r="L1" s="19"/>
      <c r="M1" s="19"/>
      <c r="N1" s="19"/>
    </row>
    <row r="2" spans="2:16" ht="30" customHeight="1">
      <c r="B2" s="145" t="s">
        <v>327</v>
      </c>
      <c r="C2" s="146"/>
      <c r="D2" s="147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38" t="s">
        <v>326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41" t="s">
        <v>59</v>
      </c>
      <c r="C5" s="142"/>
      <c r="D5" s="143">
        <f>'Bullient '!M81+OTC!H17</f>
        <v>169345083</v>
      </c>
      <c r="E5" s="144"/>
      <c r="F5" s="23"/>
      <c r="G5" s="141" t="s">
        <v>60</v>
      </c>
      <c r="H5" s="142"/>
      <c r="I5" s="143">
        <f>'Bullient '!N81+OTC!I17</f>
        <v>282557682.25</v>
      </c>
      <c r="J5" s="144"/>
      <c r="K5" s="24"/>
      <c r="L5" s="141" t="s">
        <v>8</v>
      </c>
      <c r="M5" s="142"/>
      <c r="N5" s="25">
        <f>'Bullient '!L81+OTC!G17</f>
        <v>545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26"/>
      <c r="L6" s="127"/>
      <c r="M6" s="128"/>
      <c r="N6" s="28"/>
    </row>
    <row r="7" spans="2:16" ht="24.95" customHeight="1">
      <c r="B7" s="129" t="s">
        <v>1</v>
      </c>
      <c r="C7" s="130"/>
      <c r="D7" s="131"/>
      <c r="E7" s="29">
        <v>943.3</v>
      </c>
      <c r="F7" s="30"/>
      <c r="G7" s="129" t="s">
        <v>5</v>
      </c>
      <c r="H7" s="130"/>
      <c r="I7" s="131"/>
      <c r="J7" s="29">
        <v>1183.3</v>
      </c>
      <c r="K7" s="125"/>
      <c r="L7" s="120"/>
      <c r="M7" s="121"/>
      <c r="N7" s="18"/>
    </row>
    <row r="8" spans="2:16" ht="24.95" customHeight="1">
      <c r="B8" s="129" t="s">
        <v>2</v>
      </c>
      <c r="C8" s="130"/>
      <c r="D8" s="131"/>
      <c r="E8" s="29">
        <v>943.54</v>
      </c>
      <c r="F8" s="31"/>
      <c r="G8" s="129" t="s">
        <v>6</v>
      </c>
      <c r="H8" s="130"/>
      <c r="I8" s="131"/>
      <c r="J8" s="29">
        <v>1178.21</v>
      </c>
      <c r="K8" s="125"/>
      <c r="L8" s="120"/>
      <c r="M8" s="121"/>
      <c r="N8" s="18"/>
    </row>
    <row r="9" spans="2:16" ht="24.95" customHeight="1">
      <c r="B9" s="122" t="s">
        <v>3</v>
      </c>
      <c r="C9" s="123"/>
      <c r="D9" s="124"/>
      <c r="E9" s="116">
        <f>((E7/E8)-1)*100</f>
        <v>-2.5436123534772204E-2</v>
      </c>
      <c r="F9" s="31"/>
      <c r="G9" s="122" t="s">
        <v>3</v>
      </c>
      <c r="H9" s="123"/>
      <c r="I9" s="124"/>
      <c r="J9" s="118">
        <f>((J7/J8)-1)*100</f>
        <v>0.43201127133531969</v>
      </c>
      <c r="K9" s="125"/>
      <c r="L9" s="120"/>
      <c r="M9" s="121"/>
      <c r="N9" s="18"/>
    </row>
    <row r="10" spans="2:16" ht="24.95" customHeight="1">
      <c r="B10" s="122" t="s">
        <v>4</v>
      </c>
      <c r="C10" s="123"/>
      <c r="D10" s="124"/>
      <c r="E10" s="116">
        <f>E7-E8</f>
        <v>-0.24000000000000909</v>
      </c>
      <c r="F10" s="21"/>
      <c r="G10" s="122" t="s">
        <v>4</v>
      </c>
      <c r="H10" s="123"/>
      <c r="I10" s="124"/>
      <c r="J10" s="118">
        <f>J7-J8</f>
        <v>5.0899999999999181</v>
      </c>
      <c r="K10" s="125"/>
      <c r="L10" s="120"/>
      <c r="M10" s="121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19"/>
      <c r="L11" s="120"/>
      <c r="M11" s="121"/>
      <c r="N11" s="18"/>
      <c r="O11" s="32"/>
    </row>
    <row r="12" spans="2:16" ht="24.95" customHeight="1">
      <c r="B12" s="37" t="s">
        <v>9</v>
      </c>
      <c r="C12" s="38">
        <v>104</v>
      </c>
      <c r="D12" s="39" t="s">
        <v>61</v>
      </c>
      <c r="E12" s="38">
        <v>27</v>
      </c>
      <c r="F12" s="21"/>
      <c r="G12" s="40" t="s">
        <v>66</v>
      </c>
      <c r="H12" s="38">
        <v>46</v>
      </c>
      <c r="I12" s="39" t="s">
        <v>61</v>
      </c>
      <c r="J12" s="38">
        <v>24</v>
      </c>
      <c r="K12" s="125"/>
      <c r="L12" s="120"/>
      <c r="M12" s="121"/>
      <c r="N12" s="18"/>
      <c r="O12" s="32"/>
      <c r="P12" s="32"/>
    </row>
    <row r="13" spans="2:16" ht="24.95" customHeight="1">
      <c r="B13" s="37" t="s">
        <v>65</v>
      </c>
      <c r="C13" s="38">
        <v>39</v>
      </c>
      <c r="D13" s="39" t="s">
        <v>61</v>
      </c>
      <c r="E13" s="38">
        <v>3</v>
      </c>
      <c r="F13" s="30"/>
      <c r="G13" s="151" t="s">
        <v>63</v>
      </c>
      <c r="H13" s="152"/>
      <c r="I13" s="153"/>
      <c r="J13" s="38">
        <v>9</v>
      </c>
      <c r="K13" s="125"/>
      <c r="L13" s="120"/>
      <c r="M13" s="121"/>
      <c r="N13" s="18"/>
      <c r="O13" s="32"/>
      <c r="P13" s="32"/>
    </row>
    <row r="14" spans="2:16" ht="24.95" customHeight="1">
      <c r="B14" s="122" t="s">
        <v>78</v>
      </c>
      <c r="C14" s="123" t="s">
        <v>10</v>
      </c>
      <c r="D14" s="124" t="s">
        <v>10</v>
      </c>
      <c r="E14" s="38">
        <v>9</v>
      </c>
      <c r="F14" s="21"/>
      <c r="G14" s="154" t="s">
        <v>64</v>
      </c>
      <c r="H14" s="155"/>
      <c r="I14" s="156"/>
      <c r="J14" s="38">
        <v>11</v>
      </c>
      <c r="K14" s="125"/>
      <c r="L14" s="120"/>
      <c r="M14" s="121"/>
      <c r="N14" s="26"/>
      <c r="O14" s="32"/>
    </row>
    <row r="15" spans="2:16" ht="24.95" customHeight="1">
      <c r="B15" s="122" t="s">
        <v>62</v>
      </c>
      <c r="C15" s="123" t="s">
        <v>11</v>
      </c>
      <c r="D15" s="124" t="s">
        <v>11</v>
      </c>
      <c r="E15" s="41">
        <v>10</v>
      </c>
      <c r="F15" s="18"/>
      <c r="G15" s="26"/>
      <c r="H15" s="26"/>
      <c r="I15" s="26"/>
      <c r="J15" s="26"/>
      <c r="K15" s="26"/>
      <c r="L15" s="26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98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98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98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98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98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98"/>
    </row>
    <row r="22" spans="1:16" ht="41.2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 ht="50.25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6" ht="50.25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6" ht="33" customHeight="1">
      <c r="A25" s="148" t="s">
        <v>12</v>
      </c>
      <c r="B25" s="149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</row>
  </sheetData>
  <mergeCells count="31">
    <mergeCell ref="A25:N25"/>
    <mergeCell ref="K12:M12"/>
    <mergeCell ref="G13:I13"/>
    <mergeCell ref="K13:M13"/>
    <mergeCell ref="B14:D14"/>
    <mergeCell ref="B15:D15"/>
    <mergeCell ref="G14:I14"/>
    <mergeCell ref="K14:M14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K6:M6"/>
    <mergeCell ref="B7:D7"/>
    <mergeCell ref="G7:I7"/>
    <mergeCell ref="K7:M7"/>
    <mergeCell ref="B8:D8"/>
    <mergeCell ref="G8:I8"/>
    <mergeCell ref="K8:M8"/>
    <mergeCell ref="K11:M11"/>
    <mergeCell ref="B9:D9"/>
    <mergeCell ref="G9:I9"/>
    <mergeCell ref="K9:M9"/>
    <mergeCell ref="B10:D10"/>
    <mergeCell ref="G10:I10"/>
    <mergeCell ref="K10:M10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Normal="100" workbookViewId="0">
      <selection activeCell="H17" sqref="H17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58" t="s">
        <v>57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3" spans="1:14" ht="36.75" customHeight="1">
      <c r="A3" s="159" t="s">
        <v>328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1:14" ht="21">
      <c r="A4" s="42"/>
      <c r="B4" s="42"/>
      <c r="C4" s="157" t="s">
        <v>13</v>
      </c>
      <c r="D4" s="157"/>
      <c r="E4" s="157"/>
      <c r="F4" s="157"/>
      <c r="G4" s="42"/>
      <c r="H4" s="157" t="s">
        <v>14</v>
      </c>
      <c r="I4" s="157"/>
      <c r="J4" s="157"/>
      <c r="K4" s="157"/>
    </row>
    <row r="5" spans="1:14" ht="31.5">
      <c r="A5" s="42"/>
      <c r="B5" s="42"/>
      <c r="C5" s="72" t="s">
        <v>15</v>
      </c>
      <c r="D5" s="73" t="s">
        <v>16</v>
      </c>
      <c r="E5" s="73" t="s">
        <v>17</v>
      </c>
      <c r="F5" s="74" t="s">
        <v>18</v>
      </c>
      <c r="G5" s="42"/>
      <c r="H5" s="72" t="s">
        <v>15</v>
      </c>
      <c r="I5" s="73" t="s">
        <v>16</v>
      </c>
      <c r="J5" s="73" t="s">
        <v>17</v>
      </c>
      <c r="K5" s="74" t="s">
        <v>18</v>
      </c>
    </row>
    <row r="6" spans="1:14" s="48" customFormat="1" ht="17.100000000000001" customHeight="1">
      <c r="A6" s="42"/>
      <c r="B6" s="42"/>
      <c r="C6" s="46" t="s">
        <v>294</v>
      </c>
      <c r="D6" s="75">
        <v>0.12</v>
      </c>
      <c r="E6" s="81">
        <v>20</v>
      </c>
      <c r="F6" s="78">
        <v>1136375</v>
      </c>
      <c r="G6" s="42"/>
      <c r="H6" s="46" t="s">
        <v>254</v>
      </c>
      <c r="I6" s="75">
        <v>3.5</v>
      </c>
      <c r="J6" s="82">
        <v>-7.89</v>
      </c>
      <c r="K6" s="78">
        <v>743878</v>
      </c>
      <c r="L6" s="1"/>
      <c r="M6" s="1"/>
    </row>
    <row r="7" spans="1:14" s="48" customFormat="1" ht="17.100000000000001" customHeight="1">
      <c r="A7" s="42"/>
      <c r="B7" s="42"/>
      <c r="C7" s="46" t="s">
        <v>240</v>
      </c>
      <c r="D7" s="75">
        <v>7.0000000000000007E-2</v>
      </c>
      <c r="E7" s="81">
        <v>16.670000000000002</v>
      </c>
      <c r="F7" s="78">
        <v>130000</v>
      </c>
      <c r="G7" s="42"/>
      <c r="H7" s="46" t="s">
        <v>162</v>
      </c>
      <c r="I7" s="75">
        <v>0.25</v>
      </c>
      <c r="J7" s="82">
        <v>-7.41</v>
      </c>
      <c r="K7" s="78">
        <v>211111</v>
      </c>
      <c r="L7" s="1"/>
    </row>
    <row r="8" spans="1:14" s="48" customFormat="1" ht="17.100000000000001" customHeight="1">
      <c r="A8" s="42"/>
      <c r="B8" s="42"/>
      <c r="C8" s="46" t="s">
        <v>33</v>
      </c>
      <c r="D8" s="75">
        <v>2.75</v>
      </c>
      <c r="E8" s="81">
        <v>1.85</v>
      </c>
      <c r="F8" s="78">
        <v>250000</v>
      </c>
      <c r="G8" s="42"/>
      <c r="H8" s="46" t="s">
        <v>309</v>
      </c>
      <c r="I8" s="75">
        <v>1.42</v>
      </c>
      <c r="J8" s="82">
        <v>-4.05</v>
      </c>
      <c r="K8" s="78">
        <v>8000</v>
      </c>
    </row>
    <row r="9" spans="1:14" s="48" customFormat="1" ht="17.100000000000001" customHeight="1">
      <c r="A9" s="42"/>
      <c r="B9" s="42"/>
      <c r="C9" s="46" t="s">
        <v>252</v>
      </c>
      <c r="D9" s="75">
        <v>2.25</v>
      </c>
      <c r="E9" s="81">
        <v>1.81</v>
      </c>
      <c r="F9" s="78">
        <v>10000</v>
      </c>
      <c r="G9" s="42"/>
      <c r="H9" s="95" t="s">
        <v>146</v>
      </c>
      <c r="I9" s="89">
        <v>1.25</v>
      </c>
      <c r="J9" s="99">
        <v>-3.85</v>
      </c>
      <c r="K9" s="88">
        <v>237372</v>
      </c>
    </row>
    <row r="10" spans="1:14" s="48" customFormat="1" ht="17.100000000000001" customHeight="1">
      <c r="A10" s="42"/>
      <c r="B10" s="42"/>
      <c r="C10" s="46" t="s">
        <v>154</v>
      </c>
      <c r="D10" s="75">
        <v>15.4</v>
      </c>
      <c r="E10" s="81">
        <v>1.52</v>
      </c>
      <c r="F10" s="78">
        <v>1598886</v>
      </c>
      <c r="G10" s="42"/>
      <c r="H10" s="95" t="s">
        <v>230</v>
      </c>
      <c r="I10" s="89">
        <v>0.28999999999999998</v>
      </c>
      <c r="J10" s="99">
        <v>-3.33</v>
      </c>
      <c r="K10" s="88">
        <v>3426866</v>
      </c>
    </row>
    <row r="11" spans="1:14" s="48" customFormat="1" ht="33" customHeight="1">
      <c r="A11" s="42"/>
      <c r="B11" s="42"/>
      <c r="C11" s="158" t="s">
        <v>58</v>
      </c>
      <c r="D11" s="158"/>
      <c r="E11" s="158"/>
      <c r="F11" s="158"/>
      <c r="G11" s="158"/>
      <c r="H11" s="158"/>
      <c r="I11" s="158"/>
      <c r="J11" s="158"/>
      <c r="K11" s="158"/>
    </row>
    <row r="12" spans="1:14" s="48" customFormat="1" ht="33" customHeight="1">
      <c r="A12" s="42"/>
      <c r="B12" s="42"/>
      <c r="C12" s="158"/>
      <c r="D12" s="158"/>
      <c r="E12" s="158"/>
      <c r="F12" s="158"/>
      <c r="G12" s="158"/>
      <c r="H12" s="158"/>
      <c r="I12" s="158"/>
      <c r="J12" s="158"/>
      <c r="K12" s="158"/>
    </row>
    <row r="13" spans="1:14" ht="29.25" customHeight="1">
      <c r="A13" s="42"/>
      <c r="B13" s="42"/>
      <c r="C13" s="157" t="s">
        <v>18</v>
      </c>
      <c r="D13" s="157"/>
      <c r="E13" s="157"/>
      <c r="F13" s="157"/>
      <c r="G13" s="85"/>
      <c r="H13" s="157" t="s">
        <v>7</v>
      </c>
      <c r="I13" s="157"/>
      <c r="J13" s="157"/>
      <c r="K13" s="157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79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138</v>
      </c>
      <c r="D15" s="75">
        <v>2</v>
      </c>
      <c r="E15" s="76">
        <v>-0.99</v>
      </c>
      <c r="F15" s="78">
        <v>66100404</v>
      </c>
      <c r="G15" s="1"/>
      <c r="H15" s="95" t="s">
        <v>138</v>
      </c>
      <c r="I15" s="89">
        <v>2</v>
      </c>
      <c r="J15" s="90">
        <v>-0.99</v>
      </c>
      <c r="K15" s="88">
        <v>132213777.7</v>
      </c>
    </row>
    <row r="16" spans="1:14" ht="17.100000000000001" customHeight="1">
      <c r="A16" s="42"/>
      <c r="B16" s="42"/>
      <c r="C16" s="46" t="s">
        <v>307</v>
      </c>
      <c r="D16" s="75">
        <v>0.12</v>
      </c>
      <c r="E16" s="76">
        <v>0</v>
      </c>
      <c r="F16" s="78">
        <v>35099276</v>
      </c>
      <c r="G16" s="1"/>
      <c r="H16" s="95" t="s">
        <v>154</v>
      </c>
      <c r="I16" s="89">
        <v>15.4</v>
      </c>
      <c r="J16" s="90">
        <v>1.52</v>
      </c>
      <c r="K16" s="88">
        <v>24529029.390000001</v>
      </c>
    </row>
    <row r="17" spans="1:11" ht="17.100000000000001" customHeight="1">
      <c r="A17" s="42"/>
      <c r="B17" s="42"/>
      <c r="C17" s="46" t="s">
        <v>258</v>
      </c>
      <c r="D17" s="75">
        <v>0.21</v>
      </c>
      <c r="E17" s="76">
        <v>0</v>
      </c>
      <c r="F17" s="78">
        <v>11500000</v>
      </c>
      <c r="G17" s="1"/>
      <c r="H17" s="95" t="s">
        <v>190</v>
      </c>
      <c r="I17" s="89">
        <v>6.03</v>
      </c>
      <c r="J17" s="90">
        <v>0.84</v>
      </c>
      <c r="K17" s="88">
        <v>24252412.850000001</v>
      </c>
    </row>
    <row r="18" spans="1:11" ht="17.100000000000001" customHeight="1">
      <c r="A18" s="42"/>
      <c r="B18" s="42"/>
      <c r="C18" s="46" t="s">
        <v>248</v>
      </c>
      <c r="D18" s="75">
        <v>0.93</v>
      </c>
      <c r="E18" s="76">
        <v>0</v>
      </c>
      <c r="F18" s="78">
        <v>10198565</v>
      </c>
      <c r="G18" s="1"/>
      <c r="H18" s="95" t="s">
        <v>148</v>
      </c>
      <c r="I18" s="89">
        <v>3.56</v>
      </c>
      <c r="J18" s="90">
        <v>-0.84</v>
      </c>
      <c r="K18" s="88">
        <v>17822577.800000001</v>
      </c>
    </row>
    <row r="19" spans="1:11" ht="16.5" customHeight="1">
      <c r="A19" s="42"/>
      <c r="B19" s="42"/>
      <c r="C19" s="46" t="s">
        <v>148</v>
      </c>
      <c r="D19" s="75">
        <v>3.56</v>
      </c>
      <c r="E19" s="76">
        <v>-0.84</v>
      </c>
      <c r="F19" s="78">
        <v>5007365</v>
      </c>
      <c r="G19" s="1"/>
      <c r="H19" s="95" t="s">
        <v>123</v>
      </c>
      <c r="I19" s="89">
        <v>18.2</v>
      </c>
      <c r="J19" s="90">
        <v>-0.27</v>
      </c>
      <c r="K19" s="88">
        <v>14879450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5"/>
  <sheetViews>
    <sheetView topLeftCell="A26" zoomScale="115" zoomScaleNormal="115" workbookViewId="0">
      <selection activeCell="B50" sqref="B49:N50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6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7" customWidth="1"/>
    <col min="11" max="11" width="10" style="68" customWidth="1"/>
    <col min="12" max="12" width="9.7109375" style="69" customWidth="1"/>
    <col min="13" max="13" width="23.7109375" style="69" customWidth="1"/>
    <col min="14" max="14" width="23.42578125" style="70" customWidth="1"/>
    <col min="15" max="16384" width="9" style="57"/>
  </cols>
  <sheetData>
    <row r="1" spans="1:14" s="51" customFormat="1" ht="36.75" customHeight="1">
      <c r="A1" s="50"/>
      <c r="B1" s="177" t="s">
        <v>331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9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8" customHeight="1">
      <c r="A3" s="57"/>
      <c r="B3" s="160" t="s">
        <v>29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2"/>
    </row>
    <row r="4" spans="1:14" ht="18" customHeight="1">
      <c r="A4" s="57"/>
      <c r="B4" s="95" t="s">
        <v>150</v>
      </c>
      <c r="C4" s="96" t="s">
        <v>151</v>
      </c>
      <c r="D4" s="89">
        <v>2.79</v>
      </c>
      <c r="E4" s="89">
        <v>2.79</v>
      </c>
      <c r="F4" s="89">
        <v>2.76</v>
      </c>
      <c r="G4" s="89">
        <v>2.79</v>
      </c>
      <c r="H4" s="89">
        <v>2.81</v>
      </c>
      <c r="I4" s="89">
        <v>2.79</v>
      </c>
      <c r="J4" s="89">
        <v>2.79</v>
      </c>
      <c r="K4" s="90">
        <v>0</v>
      </c>
      <c r="L4" s="87">
        <v>22</v>
      </c>
      <c r="M4" s="88">
        <v>4797907</v>
      </c>
      <c r="N4" s="88">
        <v>13385645.49</v>
      </c>
    </row>
    <row r="5" spans="1:14" ht="18" customHeight="1">
      <c r="A5" s="57"/>
      <c r="B5" s="95" t="s">
        <v>215</v>
      </c>
      <c r="C5" s="96" t="s">
        <v>216</v>
      </c>
      <c r="D5" s="89">
        <v>0.53</v>
      </c>
      <c r="E5" s="89">
        <v>0.53</v>
      </c>
      <c r="F5" s="89">
        <v>0.53</v>
      </c>
      <c r="G5" s="114">
        <v>0.53</v>
      </c>
      <c r="H5" s="114">
        <v>0.53</v>
      </c>
      <c r="I5" s="114">
        <v>0.53</v>
      </c>
      <c r="J5" s="114">
        <v>0.53</v>
      </c>
      <c r="K5" s="115">
        <v>0</v>
      </c>
      <c r="L5" s="113">
        <v>6</v>
      </c>
      <c r="M5" s="63">
        <v>1501402</v>
      </c>
      <c r="N5" s="63">
        <v>795743.06</v>
      </c>
    </row>
    <row r="6" spans="1:14" ht="18" customHeight="1">
      <c r="A6" s="57"/>
      <c r="B6" s="95" t="s">
        <v>226</v>
      </c>
      <c r="C6" s="96" t="s">
        <v>227</v>
      </c>
      <c r="D6" s="89">
        <v>0.22</v>
      </c>
      <c r="E6" s="89">
        <v>0.22</v>
      </c>
      <c r="F6" s="89">
        <v>0.22</v>
      </c>
      <c r="G6" s="114">
        <v>0.22</v>
      </c>
      <c r="H6" s="114">
        <v>0.27</v>
      </c>
      <c r="I6" s="114">
        <v>0.22</v>
      </c>
      <c r="J6" s="114">
        <v>0.22</v>
      </c>
      <c r="K6" s="115">
        <v>0</v>
      </c>
      <c r="L6" s="113">
        <v>1</v>
      </c>
      <c r="M6" s="63">
        <v>250000</v>
      </c>
      <c r="N6" s="63">
        <v>55000</v>
      </c>
    </row>
    <row r="7" spans="1:14" ht="18" customHeight="1">
      <c r="A7" s="57"/>
      <c r="B7" s="95" t="s">
        <v>162</v>
      </c>
      <c r="C7" s="96" t="s">
        <v>163</v>
      </c>
      <c r="D7" s="89">
        <v>0.25</v>
      </c>
      <c r="E7" s="89">
        <v>0.26</v>
      </c>
      <c r="F7" s="89">
        <v>0.25</v>
      </c>
      <c r="G7" s="114">
        <v>0.26</v>
      </c>
      <c r="H7" s="89">
        <v>0.22</v>
      </c>
      <c r="I7" s="114">
        <v>0.25</v>
      </c>
      <c r="J7" s="114">
        <v>0.27</v>
      </c>
      <c r="K7" s="115">
        <v>-7.41</v>
      </c>
      <c r="L7" s="113">
        <v>4</v>
      </c>
      <c r="M7" s="63">
        <v>211111</v>
      </c>
      <c r="N7" s="63">
        <v>53888.86</v>
      </c>
    </row>
    <row r="8" spans="1:14" ht="18" customHeight="1">
      <c r="A8" s="57"/>
      <c r="B8" s="95" t="s">
        <v>230</v>
      </c>
      <c r="C8" s="96" t="s">
        <v>231</v>
      </c>
      <c r="D8" s="89">
        <v>0.3</v>
      </c>
      <c r="E8" s="89">
        <v>0.3</v>
      </c>
      <c r="F8" s="89">
        <v>0.28999999999999998</v>
      </c>
      <c r="G8" s="114">
        <v>0.3</v>
      </c>
      <c r="H8" s="114">
        <v>0.3</v>
      </c>
      <c r="I8" s="114">
        <v>0.28999999999999998</v>
      </c>
      <c r="J8" s="114">
        <v>0.3</v>
      </c>
      <c r="K8" s="115">
        <v>-3.33</v>
      </c>
      <c r="L8" s="113">
        <v>5</v>
      </c>
      <c r="M8" s="63">
        <v>3426866</v>
      </c>
      <c r="N8" s="63">
        <v>1014059.8</v>
      </c>
    </row>
    <row r="9" spans="1:14" ht="18" customHeight="1">
      <c r="A9" s="57"/>
      <c r="B9" s="95" t="s">
        <v>248</v>
      </c>
      <c r="C9" s="96" t="s">
        <v>249</v>
      </c>
      <c r="D9" s="89">
        <v>0.93</v>
      </c>
      <c r="E9" s="89">
        <v>0.93</v>
      </c>
      <c r="F9" s="89">
        <v>0.93</v>
      </c>
      <c r="G9" s="89">
        <v>0.93</v>
      </c>
      <c r="H9" s="89">
        <v>0.93</v>
      </c>
      <c r="I9" s="89">
        <v>0.93</v>
      </c>
      <c r="J9" s="89">
        <v>0.93</v>
      </c>
      <c r="K9" s="90">
        <v>0</v>
      </c>
      <c r="L9" s="87">
        <v>23</v>
      </c>
      <c r="M9" s="88">
        <v>10198565</v>
      </c>
      <c r="N9" s="88">
        <v>9484665.4499999993</v>
      </c>
    </row>
    <row r="10" spans="1:14" ht="18" customHeight="1">
      <c r="A10" s="57"/>
      <c r="B10" s="95" t="s">
        <v>114</v>
      </c>
      <c r="C10" s="96" t="s">
        <v>115</v>
      </c>
      <c r="D10" s="89">
        <v>0.06</v>
      </c>
      <c r="E10" s="89">
        <v>0.06</v>
      </c>
      <c r="F10" s="89">
        <v>0.06</v>
      </c>
      <c r="G10" s="89">
        <v>0.06</v>
      </c>
      <c r="H10" s="89">
        <v>0.06</v>
      </c>
      <c r="I10" s="89">
        <v>0.06</v>
      </c>
      <c r="J10" s="89">
        <v>0.06</v>
      </c>
      <c r="K10" s="90">
        <v>0</v>
      </c>
      <c r="L10" s="87">
        <v>3</v>
      </c>
      <c r="M10" s="88">
        <v>671940</v>
      </c>
      <c r="N10" s="88">
        <v>40316.400000000001</v>
      </c>
    </row>
    <row r="11" spans="1:14" ht="18" customHeight="1">
      <c r="A11" s="57"/>
      <c r="B11" s="95" t="s">
        <v>138</v>
      </c>
      <c r="C11" s="96" t="s">
        <v>139</v>
      </c>
      <c r="D11" s="89">
        <v>2.02</v>
      </c>
      <c r="E11" s="89">
        <v>2.02</v>
      </c>
      <c r="F11" s="89">
        <v>2</v>
      </c>
      <c r="G11" s="89">
        <v>2</v>
      </c>
      <c r="H11" s="89">
        <v>2</v>
      </c>
      <c r="I11" s="89">
        <v>2</v>
      </c>
      <c r="J11" s="89">
        <v>2.02</v>
      </c>
      <c r="K11" s="90">
        <v>-0.99</v>
      </c>
      <c r="L11" s="87">
        <v>77</v>
      </c>
      <c r="M11" s="88">
        <v>66100404</v>
      </c>
      <c r="N11" s="88">
        <v>132213777.7</v>
      </c>
    </row>
    <row r="12" spans="1:14" ht="18" customHeight="1">
      <c r="A12" s="57"/>
      <c r="B12" s="46" t="s">
        <v>303</v>
      </c>
      <c r="C12" s="58" t="s">
        <v>304</v>
      </c>
      <c r="D12" s="89">
        <v>1</v>
      </c>
      <c r="E12" s="89">
        <v>1</v>
      </c>
      <c r="F12" s="89">
        <v>1</v>
      </c>
      <c r="G12" s="114">
        <v>1</v>
      </c>
      <c r="H12" s="114">
        <v>1</v>
      </c>
      <c r="I12" s="114">
        <v>1</v>
      </c>
      <c r="J12" s="114">
        <v>1</v>
      </c>
      <c r="K12" s="115">
        <v>0</v>
      </c>
      <c r="L12" s="113">
        <v>2</v>
      </c>
      <c r="M12" s="63">
        <v>2392784</v>
      </c>
      <c r="N12" s="63">
        <v>2392784</v>
      </c>
    </row>
    <row r="13" spans="1:14" ht="18" customHeight="1">
      <c r="A13" s="57"/>
      <c r="B13" s="95" t="s">
        <v>148</v>
      </c>
      <c r="C13" s="96" t="s">
        <v>149</v>
      </c>
      <c r="D13" s="89">
        <v>3.59</v>
      </c>
      <c r="E13" s="89">
        <v>3.6</v>
      </c>
      <c r="F13" s="89">
        <v>3.54</v>
      </c>
      <c r="G13" s="89">
        <v>3.56</v>
      </c>
      <c r="H13" s="89">
        <v>3.58</v>
      </c>
      <c r="I13" s="89">
        <v>3.56</v>
      </c>
      <c r="J13" s="89">
        <v>3.59</v>
      </c>
      <c r="K13" s="90">
        <v>-0.84</v>
      </c>
      <c r="L13" s="87">
        <v>60</v>
      </c>
      <c r="M13" s="88">
        <v>5007365</v>
      </c>
      <c r="N13" s="88">
        <v>17822577.800000001</v>
      </c>
    </row>
    <row r="14" spans="1:14" ht="18" customHeight="1">
      <c r="A14" s="57"/>
      <c r="B14" s="95" t="s">
        <v>260</v>
      </c>
      <c r="C14" s="96" t="s">
        <v>261</v>
      </c>
      <c r="D14" s="89">
        <v>0.05</v>
      </c>
      <c r="E14" s="89">
        <v>0.05</v>
      </c>
      <c r="F14" s="89">
        <v>0.05</v>
      </c>
      <c r="G14" s="89">
        <v>0.05</v>
      </c>
      <c r="H14" s="89">
        <v>0.05</v>
      </c>
      <c r="I14" s="89">
        <v>0.05</v>
      </c>
      <c r="J14" s="89">
        <v>0.05</v>
      </c>
      <c r="K14" s="90">
        <v>0</v>
      </c>
      <c r="L14" s="87">
        <v>5</v>
      </c>
      <c r="M14" s="88">
        <v>600238</v>
      </c>
      <c r="N14" s="88">
        <v>30011.9</v>
      </c>
    </row>
    <row r="15" spans="1:14" ht="18" customHeight="1">
      <c r="A15" s="57"/>
      <c r="B15" s="163" t="s">
        <v>84</v>
      </c>
      <c r="C15" s="164"/>
      <c r="D15" s="165"/>
      <c r="E15" s="166"/>
      <c r="F15" s="166"/>
      <c r="G15" s="166"/>
      <c r="H15" s="166"/>
      <c r="I15" s="166"/>
      <c r="J15" s="166"/>
      <c r="K15" s="167"/>
      <c r="L15" s="59">
        <f>SUM(L4:L14)</f>
        <v>208</v>
      </c>
      <c r="M15" s="59">
        <f>SUM(M4:M14)</f>
        <v>95158582</v>
      </c>
      <c r="N15" s="60">
        <f>SUM(N4:N14)</f>
        <v>177288470.46000001</v>
      </c>
    </row>
    <row r="16" spans="1:14" ht="18" customHeight="1">
      <c r="A16" s="57"/>
      <c r="B16" s="160" t="s">
        <v>30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2"/>
    </row>
    <row r="17" spans="1:14" ht="18" customHeight="1">
      <c r="A17" s="57"/>
      <c r="B17" s="46" t="s">
        <v>154</v>
      </c>
      <c r="C17" s="58" t="s">
        <v>155</v>
      </c>
      <c r="D17" s="62">
        <v>15.17</v>
      </c>
      <c r="E17" s="75">
        <v>15.4</v>
      </c>
      <c r="F17" s="75">
        <v>15.17</v>
      </c>
      <c r="G17" s="75">
        <v>15.34</v>
      </c>
      <c r="H17" s="75">
        <v>15.22</v>
      </c>
      <c r="I17" s="75">
        <v>15.4</v>
      </c>
      <c r="J17" s="75">
        <v>15.17</v>
      </c>
      <c r="K17" s="76">
        <v>1.52</v>
      </c>
      <c r="L17" s="77">
        <v>61</v>
      </c>
      <c r="M17" s="78">
        <v>1598886</v>
      </c>
      <c r="N17" s="78">
        <v>24529029.390000001</v>
      </c>
    </row>
    <row r="18" spans="1:14" ht="18" customHeight="1">
      <c r="A18" s="57"/>
      <c r="B18" s="46" t="s">
        <v>256</v>
      </c>
      <c r="C18" s="58" t="s">
        <v>257</v>
      </c>
      <c r="D18" s="62">
        <v>3.7</v>
      </c>
      <c r="E18" s="75">
        <v>3.7</v>
      </c>
      <c r="F18" s="75">
        <v>3.7</v>
      </c>
      <c r="G18" s="75">
        <v>3.7</v>
      </c>
      <c r="H18" s="75">
        <v>3.68</v>
      </c>
      <c r="I18" s="75">
        <v>3.7</v>
      </c>
      <c r="J18" s="75">
        <v>3.7</v>
      </c>
      <c r="K18" s="76">
        <v>0</v>
      </c>
      <c r="L18" s="77">
        <v>5</v>
      </c>
      <c r="M18" s="78">
        <v>61639</v>
      </c>
      <c r="N18" s="78">
        <v>228064.3</v>
      </c>
    </row>
    <row r="19" spans="1:14" ht="18" customHeight="1">
      <c r="A19" s="57"/>
      <c r="B19" s="163" t="s">
        <v>102</v>
      </c>
      <c r="C19" s="164"/>
      <c r="D19" s="165"/>
      <c r="E19" s="166"/>
      <c r="F19" s="166"/>
      <c r="G19" s="166"/>
      <c r="H19" s="166"/>
      <c r="I19" s="166"/>
      <c r="J19" s="166"/>
      <c r="K19" s="167"/>
      <c r="L19" s="61">
        <f>SUM(L17:L18)</f>
        <v>66</v>
      </c>
      <c r="M19" s="59">
        <f>SUM(M17:M18)</f>
        <v>1660525</v>
      </c>
      <c r="N19" s="47">
        <f>SUM(N17:N18)</f>
        <v>24757093.690000001</v>
      </c>
    </row>
    <row r="20" spans="1:14" ht="18" customHeight="1">
      <c r="A20" s="57"/>
      <c r="B20" s="160" t="s">
        <v>89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2"/>
    </row>
    <row r="21" spans="1:14" ht="18" customHeight="1">
      <c r="A21" s="57"/>
      <c r="B21" s="46" t="s">
        <v>158</v>
      </c>
      <c r="C21" s="58" t="s">
        <v>159</v>
      </c>
      <c r="D21" s="89">
        <v>0.7</v>
      </c>
      <c r="E21" s="89">
        <v>0.7</v>
      </c>
      <c r="F21" s="89">
        <v>0.69</v>
      </c>
      <c r="G21" s="89">
        <v>0.69</v>
      </c>
      <c r="H21" s="75">
        <v>0.7</v>
      </c>
      <c r="I21" s="89">
        <v>0.69</v>
      </c>
      <c r="J21" s="89">
        <v>0.7</v>
      </c>
      <c r="K21" s="90">
        <v>-1.43</v>
      </c>
      <c r="L21" s="87">
        <v>2</v>
      </c>
      <c r="M21" s="88">
        <v>450000</v>
      </c>
      <c r="N21" s="88">
        <v>312500</v>
      </c>
    </row>
    <row r="22" spans="1:14" ht="18" customHeight="1">
      <c r="A22" s="57"/>
      <c r="B22" s="163" t="s">
        <v>245</v>
      </c>
      <c r="C22" s="164"/>
      <c r="D22" s="165"/>
      <c r="E22" s="166"/>
      <c r="F22" s="166"/>
      <c r="G22" s="166"/>
      <c r="H22" s="166"/>
      <c r="I22" s="166"/>
      <c r="J22" s="166"/>
      <c r="K22" s="167"/>
      <c r="L22" s="63">
        <f>SUM(L21)</f>
        <v>2</v>
      </c>
      <c r="M22" s="63">
        <f>SUM(M21)</f>
        <v>450000</v>
      </c>
      <c r="N22" s="63">
        <f>SUM(N21)</f>
        <v>312500</v>
      </c>
    </row>
    <row r="23" spans="1:14" ht="18" customHeight="1">
      <c r="A23" s="57"/>
      <c r="B23" s="160" t="s">
        <v>79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2"/>
    </row>
    <row r="24" spans="1:14" ht="18" customHeight="1">
      <c r="A24" s="57"/>
      <c r="B24" s="95" t="s">
        <v>123</v>
      </c>
      <c r="C24" s="96" t="s">
        <v>124</v>
      </c>
      <c r="D24" s="89">
        <v>18.100000000000001</v>
      </c>
      <c r="E24" s="89">
        <v>18.2</v>
      </c>
      <c r="F24" s="89">
        <v>18</v>
      </c>
      <c r="G24" s="89">
        <v>18.100000000000001</v>
      </c>
      <c r="H24" s="89">
        <v>18.309999999999999</v>
      </c>
      <c r="I24" s="89">
        <v>18.2</v>
      </c>
      <c r="J24" s="89">
        <v>18.25</v>
      </c>
      <c r="K24" s="90">
        <v>-0.27</v>
      </c>
      <c r="L24" s="87">
        <v>11</v>
      </c>
      <c r="M24" s="88">
        <v>822000</v>
      </c>
      <c r="N24" s="88">
        <v>14879450</v>
      </c>
    </row>
    <row r="25" spans="1:14" ht="18" customHeight="1">
      <c r="A25" s="57"/>
      <c r="B25" s="95" t="s">
        <v>250</v>
      </c>
      <c r="C25" s="96" t="s">
        <v>251</v>
      </c>
      <c r="D25" s="89">
        <v>2.36</v>
      </c>
      <c r="E25" s="89">
        <v>2.38</v>
      </c>
      <c r="F25" s="89">
        <v>2.34</v>
      </c>
      <c r="G25" s="89">
        <v>2.35</v>
      </c>
      <c r="H25" s="89">
        <v>2.2999999999999998</v>
      </c>
      <c r="I25" s="89">
        <v>2.34</v>
      </c>
      <c r="J25" s="89">
        <v>2.36</v>
      </c>
      <c r="K25" s="90">
        <v>-0.85</v>
      </c>
      <c r="L25" s="87">
        <v>21</v>
      </c>
      <c r="M25" s="88">
        <v>2152408</v>
      </c>
      <c r="N25" s="88">
        <v>5067114.0999999996</v>
      </c>
    </row>
    <row r="26" spans="1:14" ht="18" customHeight="1">
      <c r="A26" s="57"/>
      <c r="B26" s="163" t="s">
        <v>85</v>
      </c>
      <c r="C26" s="164"/>
      <c r="D26" s="165"/>
      <c r="E26" s="166"/>
      <c r="F26" s="166"/>
      <c r="G26" s="166"/>
      <c r="H26" s="166"/>
      <c r="I26" s="166"/>
      <c r="J26" s="166"/>
      <c r="K26" s="167"/>
      <c r="L26" s="63">
        <f>SUM(L24:L25)</f>
        <v>32</v>
      </c>
      <c r="M26" s="63">
        <f>SUM(M24:M25)</f>
        <v>2974408</v>
      </c>
      <c r="N26" s="63">
        <f>SUM(N24:N25)</f>
        <v>19946564.100000001</v>
      </c>
    </row>
    <row r="27" spans="1:14" ht="18" customHeight="1">
      <c r="A27" s="57"/>
      <c r="B27" s="160" t="s">
        <v>80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2"/>
    </row>
    <row r="28" spans="1:14" ht="18" customHeight="1">
      <c r="A28" s="57"/>
      <c r="B28" s="95" t="s">
        <v>190</v>
      </c>
      <c r="C28" s="96" t="s">
        <v>191</v>
      </c>
      <c r="D28" s="89">
        <v>5.98</v>
      </c>
      <c r="E28" s="89">
        <v>6.04</v>
      </c>
      <c r="F28" s="89">
        <v>5.94</v>
      </c>
      <c r="G28" s="89">
        <v>5.98</v>
      </c>
      <c r="H28" s="89">
        <v>5.97</v>
      </c>
      <c r="I28" s="89">
        <v>6.03</v>
      </c>
      <c r="J28" s="89">
        <v>5.98</v>
      </c>
      <c r="K28" s="90">
        <v>0.84</v>
      </c>
      <c r="L28" s="87">
        <v>86</v>
      </c>
      <c r="M28" s="88">
        <v>4056230</v>
      </c>
      <c r="N28" s="88">
        <v>24252412.850000001</v>
      </c>
    </row>
    <row r="29" spans="1:14" ht="18" customHeight="1">
      <c r="A29" s="57"/>
      <c r="B29" s="95" t="s">
        <v>119</v>
      </c>
      <c r="C29" s="96" t="s">
        <v>120</v>
      </c>
      <c r="D29" s="114">
        <v>2.85</v>
      </c>
      <c r="E29" s="114">
        <v>2.85</v>
      </c>
      <c r="F29" s="114">
        <v>2.85</v>
      </c>
      <c r="G29" s="114">
        <v>2.85</v>
      </c>
      <c r="H29" s="114">
        <v>2.85</v>
      </c>
      <c r="I29" s="114">
        <v>2.85</v>
      </c>
      <c r="J29" s="114">
        <v>2.85</v>
      </c>
      <c r="K29" s="115">
        <v>0</v>
      </c>
      <c r="L29" s="113">
        <v>1</v>
      </c>
      <c r="M29" s="63">
        <v>697</v>
      </c>
      <c r="N29" s="63">
        <v>1986.45</v>
      </c>
    </row>
    <row r="30" spans="1:14" ht="18" customHeight="1">
      <c r="A30" s="57"/>
      <c r="B30" s="95" t="s">
        <v>288</v>
      </c>
      <c r="C30" s="96" t="s">
        <v>289</v>
      </c>
      <c r="D30" s="89">
        <v>6.06</v>
      </c>
      <c r="E30" s="89">
        <v>6.06</v>
      </c>
      <c r="F30" s="89">
        <v>6.06</v>
      </c>
      <c r="G30" s="89">
        <v>6.06</v>
      </c>
      <c r="H30" s="89">
        <v>6.1</v>
      </c>
      <c r="I30" s="89">
        <v>6.06</v>
      </c>
      <c r="J30" s="89">
        <v>6.06</v>
      </c>
      <c r="K30" s="90">
        <v>0</v>
      </c>
      <c r="L30" s="87">
        <v>6</v>
      </c>
      <c r="M30" s="88">
        <v>1400000</v>
      </c>
      <c r="N30" s="88">
        <v>8484000</v>
      </c>
    </row>
    <row r="31" spans="1:14" ht="18" customHeight="1">
      <c r="A31" s="57"/>
      <c r="B31" s="95" t="s">
        <v>252</v>
      </c>
      <c r="C31" s="96" t="s">
        <v>253</v>
      </c>
      <c r="D31" s="89">
        <v>2.25</v>
      </c>
      <c r="E31" s="89">
        <v>2.25</v>
      </c>
      <c r="F31" s="89">
        <v>2.25</v>
      </c>
      <c r="G31" s="89">
        <v>2.25</v>
      </c>
      <c r="H31" s="89">
        <v>2.21</v>
      </c>
      <c r="I31" s="89">
        <v>2.25</v>
      </c>
      <c r="J31" s="89">
        <v>2.21</v>
      </c>
      <c r="K31" s="90">
        <v>1.81</v>
      </c>
      <c r="L31" s="87">
        <v>1</v>
      </c>
      <c r="M31" s="88">
        <v>10000</v>
      </c>
      <c r="N31" s="88">
        <v>22500</v>
      </c>
    </row>
    <row r="32" spans="1:14" ht="18" customHeight="1">
      <c r="A32" s="57"/>
      <c r="B32" s="163" t="s">
        <v>86</v>
      </c>
      <c r="C32" s="164"/>
      <c r="D32" s="165"/>
      <c r="E32" s="166"/>
      <c r="F32" s="166"/>
      <c r="G32" s="166"/>
      <c r="H32" s="166"/>
      <c r="I32" s="166"/>
      <c r="J32" s="166"/>
      <c r="K32" s="167"/>
      <c r="L32" s="63">
        <f>SUM(L28:L31)</f>
        <v>94</v>
      </c>
      <c r="M32" s="63">
        <f>SUM(M28:M31)</f>
        <v>5466927</v>
      </c>
      <c r="N32" s="63">
        <f>SUM(N28:N31)</f>
        <v>32760899.300000001</v>
      </c>
    </row>
    <row r="33" spans="1:14" ht="18" customHeight="1">
      <c r="A33" s="57"/>
      <c r="B33" s="160" t="s">
        <v>31</v>
      </c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2"/>
    </row>
    <row r="34" spans="1:14" ht="18" customHeight="1">
      <c r="A34" s="57"/>
      <c r="B34" s="46" t="s">
        <v>232</v>
      </c>
      <c r="C34" s="58" t="s">
        <v>233</v>
      </c>
      <c r="D34" s="89">
        <v>12.4</v>
      </c>
      <c r="E34" s="89">
        <v>12.4</v>
      </c>
      <c r="F34" s="89">
        <v>12.39</v>
      </c>
      <c r="G34" s="89">
        <v>12.4</v>
      </c>
      <c r="H34" s="89">
        <v>12.4</v>
      </c>
      <c r="I34" s="89">
        <v>12.39</v>
      </c>
      <c r="J34" s="89">
        <v>12.4</v>
      </c>
      <c r="K34" s="90">
        <v>-0.08</v>
      </c>
      <c r="L34" s="87">
        <v>3</v>
      </c>
      <c r="M34" s="88">
        <v>40720</v>
      </c>
      <c r="N34" s="88">
        <v>504924</v>
      </c>
    </row>
    <row r="35" spans="1:14" ht="18" customHeight="1">
      <c r="A35" s="57"/>
      <c r="B35" s="46" t="s">
        <v>172</v>
      </c>
      <c r="C35" s="58" t="s">
        <v>173</v>
      </c>
      <c r="D35" s="89">
        <v>12.05</v>
      </c>
      <c r="E35" s="89">
        <v>12.05</v>
      </c>
      <c r="F35" s="89">
        <v>12.05</v>
      </c>
      <c r="G35" s="89">
        <v>12.05</v>
      </c>
      <c r="H35" s="89">
        <v>12</v>
      </c>
      <c r="I35" s="89">
        <v>12.05</v>
      </c>
      <c r="J35" s="89">
        <v>12</v>
      </c>
      <c r="K35" s="90">
        <v>0.42</v>
      </c>
      <c r="L35" s="87">
        <v>3</v>
      </c>
      <c r="M35" s="88">
        <v>11000</v>
      </c>
      <c r="N35" s="88">
        <v>132550</v>
      </c>
    </row>
    <row r="36" spans="1:14" ht="18" customHeight="1">
      <c r="A36" s="57"/>
      <c r="B36" s="172" t="s">
        <v>87</v>
      </c>
      <c r="C36" s="173"/>
      <c r="D36" s="174"/>
      <c r="E36" s="175"/>
      <c r="F36" s="175"/>
      <c r="G36" s="175"/>
      <c r="H36" s="175"/>
      <c r="I36" s="175"/>
      <c r="J36" s="175"/>
      <c r="K36" s="176"/>
      <c r="L36" s="63">
        <f>SUM(L34:L35)</f>
        <v>6</v>
      </c>
      <c r="M36" s="63">
        <f>SUM(M34:M35)</f>
        <v>51720</v>
      </c>
      <c r="N36" s="63">
        <f>SUM(N34:N35)</f>
        <v>637474</v>
      </c>
    </row>
    <row r="37" spans="1:14" s="51" customFormat="1" ht="18" customHeight="1">
      <c r="B37" s="64" t="s">
        <v>32</v>
      </c>
      <c r="C37" s="169"/>
      <c r="D37" s="170"/>
      <c r="E37" s="170"/>
      <c r="F37" s="170"/>
      <c r="G37" s="170"/>
      <c r="H37" s="170"/>
      <c r="I37" s="170"/>
      <c r="J37" s="170"/>
      <c r="K37" s="171"/>
      <c r="L37" s="65">
        <f>L36+L32+L26+L22+L19+L15</f>
        <v>408</v>
      </c>
      <c r="M37" s="65">
        <f t="shared" ref="M37:N37" si="0">M36+M32+M26+M22+M19+M15</f>
        <v>105762162</v>
      </c>
      <c r="N37" s="65">
        <f t="shared" si="0"/>
        <v>255703001.55000001</v>
      </c>
    </row>
    <row r="38" spans="1:14" s="51" customFormat="1" ht="37.5" customHeight="1">
      <c r="A38" s="50"/>
      <c r="B38" s="177" t="s">
        <v>330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9"/>
    </row>
    <row r="39" spans="1:14" s="51" customFormat="1" ht="48" customHeight="1">
      <c r="B39" s="52" t="s">
        <v>15</v>
      </c>
      <c r="C39" s="53" t="s">
        <v>20</v>
      </c>
      <c r="D39" s="53" t="s">
        <v>21</v>
      </c>
      <c r="E39" s="53" t="s">
        <v>22</v>
      </c>
      <c r="F39" s="53" t="s">
        <v>23</v>
      </c>
      <c r="G39" s="53" t="s">
        <v>24</v>
      </c>
      <c r="H39" s="53" t="s">
        <v>25</v>
      </c>
      <c r="I39" s="53" t="s">
        <v>19</v>
      </c>
      <c r="J39" s="53" t="s">
        <v>26</v>
      </c>
      <c r="K39" s="54" t="s">
        <v>27</v>
      </c>
      <c r="L39" s="55" t="s">
        <v>28</v>
      </c>
      <c r="M39" s="55" t="s">
        <v>18</v>
      </c>
      <c r="N39" s="56" t="s">
        <v>7</v>
      </c>
    </row>
    <row r="40" spans="1:14" ht="14.1" customHeight="1">
      <c r="A40" s="57"/>
      <c r="B40" s="160" t="s">
        <v>29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2"/>
    </row>
    <row r="41" spans="1:14" ht="14.1" customHeight="1">
      <c r="A41" s="57"/>
      <c r="B41" s="95" t="s">
        <v>294</v>
      </c>
      <c r="C41" s="96" t="s">
        <v>295</v>
      </c>
      <c r="D41" s="89">
        <v>0.12</v>
      </c>
      <c r="E41" s="89">
        <v>0.12</v>
      </c>
      <c r="F41" s="89">
        <v>0.11</v>
      </c>
      <c r="G41" s="89">
        <v>0.11</v>
      </c>
      <c r="H41" s="89">
        <v>0.1</v>
      </c>
      <c r="I41" s="89">
        <v>0.12</v>
      </c>
      <c r="J41" s="89">
        <v>0.1</v>
      </c>
      <c r="K41" s="90">
        <v>20</v>
      </c>
      <c r="L41" s="87">
        <v>13</v>
      </c>
      <c r="M41" s="88">
        <v>1136375</v>
      </c>
      <c r="N41" s="88">
        <v>125061.25</v>
      </c>
    </row>
    <row r="42" spans="1:14" ht="14.1" customHeight="1">
      <c r="A42" s="57"/>
      <c r="B42" s="95" t="s">
        <v>240</v>
      </c>
      <c r="C42" s="96" t="s">
        <v>239</v>
      </c>
      <c r="D42" s="89">
        <v>7.0000000000000007E-2</v>
      </c>
      <c r="E42" s="89">
        <v>7.0000000000000007E-2</v>
      </c>
      <c r="F42" s="89">
        <v>7.0000000000000007E-2</v>
      </c>
      <c r="G42" s="89">
        <v>7.0000000000000007E-2</v>
      </c>
      <c r="H42" s="89">
        <v>0.06</v>
      </c>
      <c r="I42" s="89">
        <v>7.0000000000000007E-2</v>
      </c>
      <c r="J42" s="89">
        <v>0.06</v>
      </c>
      <c r="K42" s="90">
        <v>16.670000000000002</v>
      </c>
      <c r="L42" s="87">
        <v>1</v>
      </c>
      <c r="M42" s="88">
        <v>130000</v>
      </c>
      <c r="N42" s="88">
        <v>9100</v>
      </c>
    </row>
    <row r="43" spans="1:14" ht="14.1" customHeight="1">
      <c r="A43" s="57"/>
      <c r="B43" s="163" t="s">
        <v>84</v>
      </c>
      <c r="C43" s="164"/>
      <c r="D43" s="165"/>
      <c r="E43" s="166"/>
      <c r="F43" s="166"/>
      <c r="G43" s="166"/>
      <c r="H43" s="166"/>
      <c r="I43" s="166"/>
      <c r="J43" s="166"/>
      <c r="K43" s="167"/>
      <c r="L43" s="59">
        <f>SUM(L40:L42)</f>
        <v>14</v>
      </c>
      <c r="M43" s="59">
        <f>SUM(M40:M42)</f>
        <v>1266375</v>
      </c>
      <c r="N43" s="60">
        <f>SUM(N40:N42)</f>
        <v>134161.25</v>
      </c>
    </row>
    <row r="44" spans="1:14" ht="14.1" customHeight="1">
      <c r="A44" s="57"/>
      <c r="B44" s="160" t="s">
        <v>89</v>
      </c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2"/>
    </row>
    <row r="45" spans="1:14" ht="14.1" customHeight="1">
      <c r="A45" s="57"/>
      <c r="B45" s="95" t="s">
        <v>254</v>
      </c>
      <c r="C45" s="96" t="s">
        <v>255</v>
      </c>
      <c r="D45" s="75">
        <v>3.75</v>
      </c>
      <c r="E45" s="75">
        <v>3.75</v>
      </c>
      <c r="F45" s="75">
        <v>3.42</v>
      </c>
      <c r="G45" s="75">
        <v>3.45</v>
      </c>
      <c r="H45" s="75">
        <v>3.8</v>
      </c>
      <c r="I45" s="75">
        <v>3.5</v>
      </c>
      <c r="J45" s="75">
        <v>3.8</v>
      </c>
      <c r="K45" s="76">
        <v>-7.89</v>
      </c>
      <c r="L45" s="77">
        <v>23</v>
      </c>
      <c r="M45" s="78">
        <v>743878</v>
      </c>
      <c r="N45" s="78">
        <v>2564597.89</v>
      </c>
    </row>
    <row r="46" spans="1:14" ht="14.1" customHeight="1">
      <c r="A46" s="57"/>
      <c r="B46" s="163" t="s">
        <v>245</v>
      </c>
      <c r="C46" s="164"/>
      <c r="D46" s="165"/>
      <c r="E46" s="166"/>
      <c r="F46" s="166"/>
      <c r="G46" s="166"/>
      <c r="H46" s="166"/>
      <c r="I46" s="166"/>
      <c r="J46" s="166"/>
      <c r="K46" s="167"/>
      <c r="L46" s="63">
        <f>SUM(L44:L45)</f>
        <v>23</v>
      </c>
      <c r="M46" s="63">
        <f>SUM(M44:M45)</f>
        <v>743878</v>
      </c>
      <c r="N46" s="63">
        <f>SUM(N44:N45)</f>
        <v>2564597.89</v>
      </c>
    </row>
    <row r="47" spans="1:14" ht="14.1" customHeight="1">
      <c r="A47" s="57"/>
      <c r="B47" s="160" t="s">
        <v>79</v>
      </c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2"/>
    </row>
    <row r="48" spans="1:14" ht="14.1" customHeight="1">
      <c r="A48" s="57"/>
      <c r="B48" s="95" t="s">
        <v>309</v>
      </c>
      <c r="C48" s="96" t="s">
        <v>310</v>
      </c>
      <c r="D48" s="89">
        <v>1.42</v>
      </c>
      <c r="E48" s="89">
        <v>1.42</v>
      </c>
      <c r="F48" s="89">
        <v>1.42</v>
      </c>
      <c r="G48" s="89">
        <v>1.42</v>
      </c>
      <c r="H48" s="89">
        <v>1.48</v>
      </c>
      <c r="I48" s="89">
        <v>1.42</v>
      </c>
      <c r="J48" s="89">
        <v>1.48</v>
      </c>
      <c r="K48" s="90">
        <v>-4.05</v>
      </c>
      <c r="L48" s="87">
        <v>1</v>
      </c>
      <c r="M48" s="88">
        <v>8000</v>
      </c>
      <c r="N48" s="88">
        <v>11360</v>
      </c>
    </row>
    <row r="49" spans="1:14" ht="14.1" customHeight="1">
      <c r="A49" s="57"/>
      <c r="B49" s="163" t="s">
        <v>85</v>
      </c>
      <c r="C49" s="164"/>
      <c r="D49" s="165"/>
      <c r="E49" s="166"/>
      <c r="F49" s="166"/>
      <c r="G49" s="166"/>
      <c r="H49" s="166"/>
      <c r="I49" s="166"/>
      <c r="J49" s="166"/>
      <c r="K49" s="167"/>
      <c r="L49" s="63">
        <f>SUM(L47:L48)</f>
        <v>1</v>
      </c>
      <c r="M49" s="63">
        <f>SUM(M47:M48)</f>
        <v>8000</v>
      </c>
      <c r="N49" s="63">
        <f>SUM(N47:N48)</f>
        <v>11360</v>
      </c>
    </row>
    <row r="50" spans="1:14" ht="14.1" customHeight="1">
      <c r="A50" s="57"/>
      <c r="B50" s="160" t="s">
        <v>80</v>
      </c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2"/>
    </row>
    <row r="51" spans="1:14" ht="14.1" customHeight="1">
      <c r="A51" s="57"/>
      <c r="B51" s="46" t="s">
        <v>33</v>
      </c>
      <c r="C51" s="58" t="s">
        <v>34</v>
      </c>
      <c r="D51" s="89">
        <v>2.75</v>
      </c>
      <c r="E51" s="89">
        <v>2.75</v>
      </c>
      <c r="F51" s="89">
        <v>2.75</v>
      </c>
      <c r="G51" s="89">
        <v>2.75</v>
      </c>
      <c r="H51" s="89">
        <v>2.7</v>
      </c>
      <c r="I51" s="89">
        <v>2.75</v>
      </c>
      <c r="J51" s="89">
        <v>2.7</v>
      </c>
      <c r="K51" s="90">
        <v>1.85</v>
      </c>
      <c r="L51" s="87">
        <v>4</v>
      </c>
      <c r="M51" s="88">
        <v>250000</v>
      </c>
      <c r="N51" s="88">
        <v>687500</v>
      </c>
    </row>
    <row r="52" spans="1:14" ht="14.1" customHeight="1">
      <c r="A52" s="57"/>
      <c r="B52" s="163" t="s">
        <v>86</v>
      </c>
      <c r="C52" s="164"/>
      <c r="D52" s="165"/>
      <c r="E52" s="166"/>
      <c r="F52" s="166"/>
      <c r="G52" s="166"/>
      <c r="H52" s="166"/>
      <c r="I52" s="166"/>
      <c r="J52" s="166"/>
      <c r="K52" s="167"/>
      <c r="L52" s="63">
        <f>SUM(L51:L51)</f>
        <v>4</v>
      </c>
      <c r="M52" s="63">
        <f>SUM(M51:M51)</f>
        <v>250000</v>
      </c>
      <c r="N52" s="63">
        <f>SUM(N51:N51)</f>
        <v>687500</v>
      </c>
    </row>
    <row r="53" spans="1:14" ht="14.1" customHeight="1">
      <c r="A53" s="57"/>
      <c r="B53" s="160" t="s">
        <v>31</v>
      </c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2"/>
    </row>
    <row r="54" spans="1:14" ht="14.1" customHeight="1">
      <c r="A54" s="57"/>
      <c r="B54" s="46" t="s">
        <v>174</v>
      </c>
      <c r="C54" s="58" t="s">
        <v>175</v>
      </c>
      <c r="D54" s="89">
        <v>23.39</v>
      </c>
      <c r="E54" s="89">
        <v>23.39</v>
      </c>
      <c r="F54" s="89">
        <v>23.39</v>
      </c>
      <c r="G54" s="89">
        <v>23.39</v>
      </c>
      <c r="H54" s="89">
        <v>23.39</v>
      </c>
      <c r="I54" s="89">
        <v>23.39</v>
      </c>
      <c r="J54" s="89">
        <v>23.39</v>
      </c>
      <c r="K54" s="90">
        <v>0</v>
      </c>
      <c r="L54" s="87">
        <v>2</v>
      </c>
      <c r="M54" s="88">
        <v>382</v>
      </c>
      <c r="N54" s="88">
        <v>8934.98</v>
      </c>
    </row>
    <row r="55" spans="1:14" ht="14.1" customHeight="1">
      <c r="A55" s="57"/>
      <c r="B55" s="163" t="s">
        <v>87</v>
      </c>
      <c r="C55" s="164"/>
      <c r="D55" s="165"/>
      <c r="E55" s="166"/>
      <c r="F55" s="166"/>
      <c r="G55" s="166"/>
      <c r="H55" s="166"/>
      <c r="I55" s="166"/>
      <c r="J55" s="166"/>
      <c r="K55" s="167"/>
      <c r="L55" s="63">
        <f>SUM(L54:L54)</f>
        <v>2</v>
      </c>
      <c r="M55" s="63">
        <f>SUM(M54:M54)</f>
        <v>382</v>
      </c>
      <c r="N55" s="63">
        <f>SUM(N54:N54)</f>
        <v>8934.98</v>
      </c>
    </row>
    <row r="56" spans="1:14" s="51" customFormat="1" ht="14.1" customHeight="1">
      <c r="B56" s="64" t="s">
        <v>106</v>
      </c>
      <c r="C56" s="169"/>
      <c r="D56" s="170"/>
      <c r="E56" s="170"/>
      <c r="F56" s="170"/>
      <c r="G56" s="170"/>
      <c r="H56" s="170"/>
      <c r="I56" s="170"/>
      <c r="J56" s="170"/>
      <c r="K56" s="171"/>
      <c r="L56" s="65">
        <f>L52+L46+L43+L55+L49</f>
        <v>44</v>
      </c>
      <c r="M56" s="65">
        <f t="shared" ref="M56:N56" si="1">M52+M46+M43+M55+M49</f>
        <v>2268635</v>
      </c>
      <c r="N56" s="65">
        <f t="shared" si="1"/>
        <v>3406554.12</v>
      </c>
    </row>
    <row r="57" spans="1:14" s="51" customFormat="1" ht="37.5" customHeight="1">
      <c r="A57" s="50"/>
      <c r="B57" s="177" t="s">
        <v>329</v>
      </c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9"/>
    </row>
    <row r="58" spans="1:14" s="51" customFormat="1" ht="44.25" customHeight="1">
      <c r="B58" s="52" t="s">
        <v>15</v>
      </c>
      <c r="C58" s="53" t="s">
        <v>20</v>
      </c>
      <c r="D58" s="53" t="s">
        <v>21</v>
      </c>
      <c r="E58" s="53" t="s">
        <v>22</v>
      </c>
      <c r="F58" s="53" t="s">
        <v>23</v>
      </c>
      <c r="G58" s="53" t="s">
        <v>24</v>
      </c>
      <c r="H58" s="53" t="s">
        <v>25</v>
      </c>
      <c r="I58" s="53" t="s">
        <v>19</v>
      </c>
      <c r="J58" s="53" t="s">
        <v>26</v>
      </c>
      <c r="K58" s="54" t="s">
        <v>27</v>
      </c>
      <c r="L58" s="55" t="s">
        <v>28</v>
      </c>
      <c r="M58" s="55" t="s">
        <v>18</v>
      </c>
      <c r="N58" s="56" t="s">
        <v>7</v>
      </c>
    </row>
    <row r="59" spans="1:14" ht="13.5" customHeight="1">
      <c r="A59" s="57"/>
      <c r="B59" s="160" t="s">
        <v>29</v>
      </c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2"/>
    </row>
    <row r="60" spans="1:14" ht="13.5" customHeight="1">
      <c r="A60" s="57"/>
      <c r="B60" s="83" t="s">
        <v>307</v>
      </c>
      <c r="C60" s="84" t="s">
        <v>308</v>
      </c>
      <c r="D60" s="114">
        <v>0.12</v>
      </c>
      <c r="E60" s="114">
        <v>0.12</v>
      </c>
      <c r="F60" s="114">
        <v>0.12</v>
      </c>
      <c r="G60" s="114">
        <v>0.12</v>
      </c>
      <c r="H60" s="114">
        <v>0.12</v>
      </c>
      <c r="I60" s="114">
        <v>0.12</v>
      </c>
      <c r="J60" s="114">
        <v>0.12</v>
      </c>
      <c r="K60" s="115">
        <v>0</v>
      </c>
      <c r="L60" s="113">
        <v>14</v>
      </c>
      <c r="M60" s="63">
        <v>35099276</v>
      </c>
      <c r="N60" s="63">
        <v>4211913.12</v>
      </c>
    </row>
    <row r="61" spans="1:14" ht="13.5" customHeight="1">
      <c r="A61" s="57"/>
      <c r="B61" s="83" t="s">
        <v>258</v>
      </c>
      <c r="C61" s="84" t="s">
        <v>259</v>
      </c>
      <c r="D61" s="114">
        <v>0.2</v>
      </c>
      <c r="E61" s="114">
        <v>0.21</v>
      </c>
      <c r="F61" s="114">
        <v>0.2</v>
      </c>
      <c r="G61" s="114">
        <v>0.21</v>
      </c>
      <c r="H61" s="114">
        <v>0.21</v>
      </c>
      <c r="I61" s="114">
        <v>0.21</v>
      </c>
      <c r="J61" s="114">
        <v>0.21</v>
      </c>
      <c r="K61" s="115">
        <v>0</v>
      </c>
      <c r="L61" s="113">
        <v>20</v>
      </c>
      <c r="M61" s="63">
        <v>11500000</v>
      </c>
      <c r="N61" s="63">
        <v>2365000</v>
      </c>
    </row>
    <row r="62" spans="1:14" ht="13.5" customHeight="1">
      <c r="A62" s="57"/>
      <c r="B62" s="163" t="s">
        <v>84</v>
      </c>
      <c r="C62" s="164"/>
      <c r="D62" s="165"/>
      <c r="E62" s="166"/>
      <c r="F62" s="166"/>
      <c r="G62" s="166"/>
      <c r="H62" s="166"/>
      <c r="I62" s="166"/>
      <c r="J62" s="166"/>
      <c r="K62" s="167"/>
      <c r="L62" s="59">
        <f>SUM(L60:L61)</f>
        <v>34</v>
      </c>
      <c r="M62" s="59">
        <f>SUM(M60:M61)</f>
        <v>46599276</v>
      </c>
      <c r="N62" s="60">
        <f>SUM(N60:N61)</f>
        <v>6576913.1200000001</v>
      </c>
    </row>
    <row r="63" spans="1:14" ht="13.5" customHeight="1">
      <c r="A63" s="57"/>
      <c r="B63" s="160" t="s">
        <v>79</v>
      </c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2"/>
    </row>
    <row r="64" spans="1:14" ht="13.5" customHeight="1">
      <c r="A64" s="57"/>
      <c r="B64" s="83" t="s">
        <v>125</v>
      </c>
      <c r="C64" s="84" t="s">
        <v>126</v>
      </c>
      <c r="D64" s="114">
        <v>1.3</v>
      </c>
      <c r="E64" s="114">
        <v>1.3</v>
      </c>
      <c r="F64" s="114">
        <v>1.3</v>
      </c>
      <c r="G64" s="114">
        <v>1.3</v>
      </c>
      <c r="H64" s="114">
        <v>1.3</v>
      </c>
      <c r="I64" s="114">
        <v>1.3</v>
      </c>
      <c r="J64" s="114">
        <v>1.3</v>
      </c>
      <c r="K64" s="115">
        <v>0</v>
      </c>
      <c r="L64" s="113">
        <v>2</v>
      </c>
      <c r="M64" s="63">
        <v>1192</v>
      </c>
      <c r="N64" s="63">
        <v>1549.6</v>
      </c>
    </row>
    <row r="65" spans="1:14" ht="13.5" customHeight="1">
      <c r="A65" s="57"/>
      <c r="B65" s="83" t="s">
        <v>82</v>
      </c>
      <c r="C65" s="84" t="s">
        <v>40</v>
      </c>
      <c r="D65" s="114">
        <v>1.25</v>
      </c>
      <c r="E65" s="114">
        <v>1.25</v>
      </c>
      <c r="F65" s="114">
        <v>1.25</v>
      </c>
      <c r="G65" s="114">
        <v>1.25</v>
      </c>
      <c r="H65" s="114">
        <v>1.25</v>
      </c>
      <c r="I65" s="114">
        <v>1.25</v>
      </c>
      <c r="J65" s="114">
        <v>1.25</v>
      </c>
      <c r="K65" s="115">
        <v>0</v>
      </c>
      <c r="L65" s="113">
        <v>1</v>
      </c>
      <c r="M65" s="63">
        <v>38170</v>
      </c>
      <c r="N65" s="63">
        <v>47712.5</v>
      </c>
    </row>
    <row r="66" spans="1:14" ht="13.5" customHeight="1">
      <c r="A66" s="57"/>
      <c r="B66" s="163" t="s">
        <v>85</v>
      </c>
      <c r="C66" s="164"/>
      <c r="D66" s="165"/>
      <c r="E66" s="166"/>
      <c r="F66" s="166"/>
      <c r="G66" s="166"/>
      <c r="H66" s="166"/>
      <c r="I66" s="166"/>
      <c r="J66" s="166"/>
      <c r="K66" s="167"/>
      <c r="L66" s="63">
        <f>SUM(L64:L65)</f>
        <v>3</v>
      </c>
      <c r="M66" s="63">
        <f>SUM(M64:M65)</f>
        <v>39362</v>
      </c>
      <c r="N66" s="63">
        <f>SUM(N64:N65)</f>
        <v>49262.1</v>
      </c>
    </row>
    <row r="67" spans="1:14" ht="13.5" customHeight="1">
      <c r="A67" s="57"/>
      <c r="B67" s="160" t="s">
        <v>80</v>
      </c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2"/>
    </row>
    <row r="68" spans="1:14" ht="13.5" customHeight="1">
      <c r="A68" s="57"/>
      <c r="B68" s="83" t="s">
        <v>146</v>
      </c>
      <c r="C68" s="84" t="s">
        <v>147</v>
      </c>
      <c r="D68" s="114">
        <v>1.25</v>
      </c>
      <c r="E68" s="89">
        <v>1.25</v>
      </c>
      <c r="F68" s="89">
        <v>1.25</v>
      </c>
      <c r="G68" s="89">
        <v>1.25</v>
      </c>
      <c r="H68" s="89">
        <v>1.3</v>
      </c>
      <c r="I68" s="89">
        <v>1.25</v>
      </c>
      <c r="J68" s="89">
        <v>1.3</v>
      </c>
      <c r="K68" s="90">
        <v>-3.85</v>
      </c>
      <c r="L68" s="87">
        <v>1</v>
      </c>
      <c r="M68" s="88">
        <v>237372</v>
      </c>
      <c r="N68" s="88">
        <v>296715</v>
      </c>
    </row>
    <row r="69" spans="1:14" ht="13.5" customHeight="1">
      <c r="A69" s="57"/>
      <c r="B69" s="83" t="s">
        <v>129</v>
      </c>
      <c r="C69" s="84" t="s">
        <v>130</v>
      </c>
      <c r="D69" s="89">
        <v>1.86</v>
      </c>
      <c r="E69" s="89">
        <v>1.86</v>
      </c>
      <c r="F69" s="89">
        <v>1.86</v>
      </c>
      <c r="G69" s="89">
        <v>1.86</v>
      </c>
      <c r="H69" s="89">
        <v>1.86</v>
      </c>
      <c r="I69" s="89">
        <v>1.86</v>
      </c>
      <c r="J69" s="89">
        <v>1.86</v>
      </c>
      <c r="K69" s="90">
        <v>0</v>
      </c>
      <c r="L69" s="87">
        <v>2</v>
      </c>
      <c r="M69" s="88">
        <v>1920546</v>
      </c>
      <c r="N69" s="88">
        <v>3572215.56</v>
      </c>
    </row>
    <row r="70" spans="1:14" ht="13.5" customHeight="1">
      <c r="A70" s="57"/>
      <c r="B70" s="163" t="s">
        <v>86</v>
      </c>
      <c r="C70" s="164"/>
      <c r="D70" s="165"/>
      <c r="E70" s="166"/>
      <c r="F70" s="166"/>
      <c r="G70" s="166"/>
      <c r="H70" s="166"/>
      <c r="I70" s="166"/>
      <c r="J70" s="166"/>
      <c r="K70" s="167"/>
      <c r="L70" s="63">
        <f>SUM(L68:L69)</f>
        <v>3</v>
      </c>
      <c r="M70" s="63">
        <f>SUM(M68:M69)</f>
        <v>2157918</v>
      </c>
      <c r="N70" s="63">
        <f>SUM(N68:N69)</f>
        <v>3868930.56</v>
      </c>
    </row>
    <row r="71" spans="1:14" ht="13.5" customHeight="1">
      <c r="A71" s="57"/>
      <c r="B71" s="160" t="s">
        <v>31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2"/>
    </row>
    <row r="72" spans="1:14" ht="13.5" customHeight="1">
      <c r="A72" s="57"/>
      <c r="B72" s="83" t="s">
        <v>266</v>
      </c>
      <c r="C72" s="84" t="s">
        <v>267</v>
      </c>
      <c r="D72" s="89">
        <v>9.06</v>
      </c>
      <c r="E72" s="89">
        <v>9.08</v>
      </c>
      <c r="F72" s="89">
        <v>9.06</v>
      </c>
      <c r="G72" s="89">
        <v>9.08</v>
      </c>
      <c r="H72" s="89">
        <v>9.06</v>
      </c>
      <c r="I72" s="89">
        <v>9.08</v>
      </c>
      <c r="J72" s="89">
        <v>9.06</v>
      </c>
      <c r="K72" s="90">
        <v>0.22</v>
      </c>
      <c r="L72" s="87">
        <v>2</v>
      </c>
      <c r="M72" s="88">
        <v>60217</v>
      </c>
      <c r="N72" s="88">
        <v>546766.02</v>
      </c>
    </row>
    <row r="73" spans="1:14" ht="13.5" customHeight="1">
      <c r="A73" s="57"/>
      <c r="B73" s="83" t="s">
        <v>135</v>
      </c>
      <c r="C73" s="84" t="s">
        <v>136</v>
      </c>
      <c r="D73" s="89">
        <v>19</v>
      </c>
      <c r="E73" s="89">
        <v>19</v>
      </c>
      <c r="F73" s="89">
        <v>19</v>
      </c>
      <c r="G73" s="89">
        <v>19</v>
      </c>
      <c r="H73" s="89">
        <v>19.12</v>
      </c>
      <c r="I73" s="89">
        <v>19</v>
      </c>
      <c r="J73" s="89">
        <v>19</v>
      </c>
      <c r="K73" s="90">
        <v>0</v>
      </c>
      <c r="L73" s="87">
        <v>3</v>
      </c>
      <c r="M73" s="88">
        <v>10000</v>
      </c>
      <c r="N73" s="88">
        <v>190000</v>
      </c>
    </row>
    <row r="74" spans="1:14" ht="13.5" customHeight="1">
      <c r="A74" s="57"/>
      <c r="B74" s="163" t="s">
        <v>87</v>
      </c>
      <c r="C74" s="164"/>
      <c r="D74" s="165"/>
      <c r="E74" s="166"/>
      <c r="F74" s="166"/>
      <c r="G74" s="166"/>
      <c r="H74" s="166"/>
      <c r="I74" s="166"/>
      <c r="J74" s="166"/>
      <c r="K74" s="167"/>
      <c r="L74" s="63">
        <f>SUM(L72:L73)</f>
        <v>5</v>
      </c>
      <c r="M74" s="63">
        <f>SUM(M72:M73)</f>
        <v>70217</v>
      </c>
      <c r="N74" s="63">
        <f>SUM(N72:N73)</f>
        <v>736766.02</v>
      </c>
    </row>
    <row r="75" spans="1:14" ht="13.5" customHeight="1">
      <c r="A75" s="57"/>
      <c r="B75" s="160" t="s">
        <v>315</v>
      </c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2"/>
    </row>
    <row r="76" spans="1:14" ht="13.5" customHeight="1">
      <c r="A76" s="57"/>
      <c r="B76" s="83" t="s">
        <v>270</v>
      </c>
      <c r="C76" s="84" t="s">
        <v>271</v>
      </c>
      <c r="D76" s="114">
        <v>7.85</v>
      </c>
      <c r="E76" s="89">
        <v>7.85</v>
      </c>
      <c r="F76" s="89">
        <v>7.85</v>
      </c>
      <c r="G76" s="89">
        <v>7.85</v>
      </c>
      <c r="H76" s="89">
        <v>7.85</v>
      </c>
      <c r="I76" s="89">
        <v>7.85</v>
      </c>
      <c r="J76" s="89">
        <v>7.85</v>
      </c>
      <c r="K76" s="90">
        <v>0</v>
      </c>
      <c r="L76" s="87">
        <v>3</v>
      </c>
      <c r="M76" s="88">
        <v>34839</v>
      </c>
      <c r="N76" s="88">
        <v>273486.15000000002</v>
      </c>
    </row>
    <row r="77" spans="1:14" ht="13.5" customHeight="1">
      <c r="A77" s="57"/>
      <c r="B77" s="83" t="s">
        <v>203</v>
      </c>
      <c r="C77" s="84" t="s">
        <v>204</v>
      </c>
      <c r="D77" s="114">
        <v>5.2</v>
      </c>
      <c r="E77" s="89">
        <v>5.25</v>
      </c>
      <c r="F77" s="89">
        <v>5.2</v>
      </c>
      <c r="G77" s="89">
        <v>5.22</v>
      </c>
      <c r="H77" s="89">
        <v>5.22</v>
      </c>
      <c r="I77" s="89">
        <v>5.24</v>
      </c>
      <c r="J77" s="89">
        <v>5.22</v>
      </c>
      <c r="K77" s="90">
        <v>0.38</v>
      </c>
      <c r="L77" s="87">
        <v>18</v>
      </c>
      <c r="M77" s="88">
        <v>1982740</v>
      </c>
      <c r="N77" s="88">
        <v>10346278.630000001</v>
      </c>
    </row>
    <row r="78" spans="1:14" ht="13.5" customHeight="1">
      <c r="A78" s="57"/>
      <c r="B78" s="83" t="s">
        <v>323</v>
      </c>
      <c r="C78" s="84" t="s">
        <v>324</v>
      </c>
      <c r="D78" s="114">
        <v>0.35</v>
      </c>
      <c r="E78" s="89">
        <v>0.35</v>
      </c>
      <c r="F78" s="89">
        <v>0.35</v>
      </c>
      <c r="G78" s="89">
        <v>0.35</v>
      </c>
      <c r="H78" s="89">
        <v>0.35</v>
      </c>
      <c r="I78" s="89">
        <v>0.35</v>
      </c>
      <c r="J78" s="89">
        <v>0.35</v>
      </c>
      <c r="K78" s="90">
        <v>0</v>
      </c>
      <c r="L78" s="87">
        <v>4</v>
      </c>
      <c r="M78" s="88">
        <v>9000</v>
      </c>
      <c r="N78" s="88">
        <v>3150</v>
      </c>
    </row>
    <row r="79" spans="1:14" ht="13.5" customHeight="1">
      <c r="A79" s="57"/>
      <c r="B79" s="163" t="s">
        <v>196</v>
      </c>
      <c r="C79" s="164"/>
      <c r="D79" s="165"/>
      <c r="E79" s="166"/>
      <c r="F79" s="166"/>
      <c r="G79" s="166"/>
      <c r="H79" s="166"/>
      <c r="I79" s="166"/>
      <c r="J79" s="166"/>
      <c r="K79" s="167"/>
      <c r="L79" s="100">
        <f>SUM(L76:L78)</f>
        <v>25</v>
      </c>
      <c r="M79" s="100">
        <f>SUM(M76:M78)</f>
        <v>2026579</v>
      </c>
      <c r="N79" s="88">
        <f>SUM(N76:N78)</f>
        <v>10622914.780000001</v>
      </c>
    </row>
    <row r="80" spans="1:14" s="51" customFormat="1" ht="13.5" customHeight="1">
      <c r="B80" s="64" t="s">
        <v>67</v>
      </c>
      <c r="C80" s="169"/>
      <c r="D80" s="170"/>
      <c r="E80" s="170"/>
      <c r="F80" s="170"/>
      <c r="G80" s="170"/>
      <c r="H80" s="170"/>
      <c r="I80" s="170"/>
      <c r="J80" s="170"/>
      <c r="K80" s="171"/>
      <c r="L80" s="65">
        <f>L79+L74+L70+L62+L66</f>
        <v>70</v>
      </c>
      <c r="M80" s="65">
        <f>M79+M74+M70+M62+M66</f>
        <v>50893352</v>
      </c>
      <c r="N80" s="65">
        <f>N79+N74+N70+N62+N66</f>
        <v>21854786.580000002</v>
      </c>
    </row>
    <row r="81" spans="1:14" s="51" customFormat="1" ht="13.5" customHeight="1">
      <c r="B81" s="64" t="s">
        <v>38</v>
      </c>
      <c r="C81" s="169"/>
      <c r="D81" s="170"/>
      <c r="E81" s="170"/>
      <c r="F81" s="170"/>
      <c r="G81" s="170"/>
      <c r="H81" s="170"/>
      <c r="I81" s="170"/>
      <c r="J81" s="170"/>
      <c r="K81" s="171"/>
      <c r="L81" s="65">
        <f>L80+L56+L37</f>
        <v>522</v>
      </c>
      <c r="M81" s="65">
        <f>M80+M56+M37</f>
        <v>158924149</v>
      </c>
      <c r="N81" s="65">
        <f>N80+N56+N37</f>
        <v>280964342.25</v>
      </c>
    </row>
    <row r="82" spans="1:14" ht="12.95" customHeight="1">
      <c r="A82" s="57"/>
      <c r="N82" s="69"/>
    </row>
    <row r="83" spans="1:14" s="51" customFormat="1" ht="18.75" customHeight="1">
      <c r="B83" s="57"/>
      <c r="C83" s="66"/>
      <c r="D83" s="57"/>
      <c r="E83" s="57"/>
      <c r="F83" s="57"/>
      <c r="G83" s="57"/>
      <c r="H83" s="57"/>
      <c r="I83" s="57"/>
      <c r="J83" s="67"/>
      <c r="K83" s="68"/>
      <c r="L83" s="69"/>
      <c r="M83" s="69"/>
      <c r="N83" s="70"/>
    </row>
    <row r="84" spans="1:14" s="51" customFormat="1" ht="18.75" customHeight="1">
      <c r="B84" s="57"/>
      <c r="C84" s="66"/>
      <c r="D84" s="57"/>
      <c r="E84" s="57"/>
      <c r="F84" s="57"/>
      <c r="G84" s="57"/>
      <c r="H84" s="57"/>
      <c r="I84" s="57"/>
      <c r="J84" s="67"/>
      <c r="K84" s="68"/>
      <c r="L84" s="69"/>
      <c r="M84" s="69"/>
      <c r="N84" s="70"/>
    </row>
    <row r="85" spans="1:14" ht="12.95" customHeight="1">
      <c r="A85" s="57"/>
    </row>
  </sheetData>
  <mergeCells count="55">
    <mergeCell ref="C81:K81"/>
    <mergeCell ref="B57:N57"/>
    <mergeCell ref="C80:K80"/>
    <mergeCell ref="B70:C70"/>
    <mergeCell ref="D70:K70"/>
    <mergeCell ref="B74:C74"/>
    <mergeCell ref="D74:K74"/>
    <mergeCell ref="B79:C79"/>
    <mergeCell ref="D79:K79"/>
    <mergeCell ref="B75:N75"/>
    <mergeCell ref="B59:N59"/>
    <mergeCell ref="D66:K66"/>
    <mergeCell ref="D62:K62"/>
    <mergeCell ref="B71:N71"/>
    <mergeCell ref="B63:N63"/>
    <mergeCell ref="B66:C66"/>
    <mergeCell ref="B1:N1"/>
    <mergeCell ref="D32:K32"/>
    <mergeCell ref="B32:C32"/>
    <mergeCell ref="B3:N3"/>
    <mergeCell ref="B27:N27"/>
    <mergeCell ref="B23:N23"/>
    <mergeCell ref="B26:C26"/>
    <mergeCell ref="D15:K15"/>
    <mergeCell ref="B15:C15"/>
    <mergeCell ref="D26:K26"/>
    <mergeCell ref="B16:N16"/>
    <mergeCell ref="B19:C19"/>
    <mergeCell ref="D19:K19"/>
    <mergeCell ref="B20:N20"/>
    <mergeCell ref="B22:C22"/>
    <mergeCell ref="D22:K22"/>
    <mergeCell ref="B33:N33"/>
    <mergeCell ref="B36:C36"/>
    <mergeCell ref="D36:K36"/>
    <mergeCell ref="B38:N38"/>
    <mergeCell ref="C37:K37"/>
    <mergeCell ref="B40:N40"/>
    <mergeCell ref="B43:C43"/>
    <mergeCell ref="D43:K43"/>
    <mergeCell ref="B44:N44"/>
    <mergeCell ref="B46:C46"/>
    <mergeCell ref="D46:K46"/>
    <mergeCell ref="B47:N47"/>
    <mergeCell ref="B49:C49"/>
    <mergeCell ref="D49:K49"/>
    <mergeCell ref="B67:N67"/>
    <mergeCell ref="B50:N50"/>
    <mergeCell ref="B52:C52"/>
    <mergeCell ref="D52:K52"/>
    <mergeCell ref="C56:K56"/>
    <mergeCell ref="B62:C62"/>
    <mergeCell ref="B53:N53"/>
    <mergeCell ref="B55:C55"/>
    <mergeCell ref="D55:K55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5"/>
  <sheetViews>
    <sheetView topLeftCell="A52" zoomScale="130" zoomScaleNormal="130" workbookViewId="0">
      <selection activeCell="A80" sqref="A80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18" customHeight="1">
      <c r="A1" s="183" t="s">
        <v>332</v>
      </c>
      <c r="B1" s="183"/>
      <c r="C1" s="183"/>
      <c r="D1" s="183"/>
    </row>
    <row r="2" spans="1:4" ht="13.15" customHeight="1">
      <c r="A2" s="71" t="s">
        <v>39</v>
      </c>
      <c r="B2" s="71" t="s">
        <v>20</v>
      </c>
      <c r="C2" s="71" t="s">
        <v>88</v>
      </c>
      <c r="D2" s="71" t="s">
        <v>19</v>
      </c>
    </row>
    <row r="3" spans="1:4" ht="13.15" customHeight="1">
      <c r="A3" s="184" t="s">
        <v>29</v>
      </c>
      <c r="B3" s="185"/>
      <c r="C3" s="185"/>
      <c r="D3" s="186"/>
    </row>
    <row r="4" spans="1:4" ht="13.15" customHeight="1">
      <c r="A4" s="46" t="s">
        <v>321</v>
      </c>
      <c r="B4" s="58" t="s">
        <v>322</v>
      </c>
      <c r="C4" s="114" t="s">
        <v>68</v>
      </c>
      <c r="D4" s="114" t="s">
        <v>68</v>
      </c>
    </row>
    <row r="5" spans="1:4" ht="13.15" customHeight="1">
      <c r="A5" s="95" t="s">
        <v>201</v>
      </c>
      <c r="B5" s="96" t="s">
        <v>202</v>
      </c>
      <c r="C5" s="89">
        <v>0.3</v>
      </c>
      <c r="D5" s="89">
        <v>0.39</v>
      </c>
    </row>
    <row r="6" spans="1:4" ht="13.15" customHeight="1">
      <c r="A6" s="95" t="s">
        <v>262</v>
      </c>
      <c r="B6" s="96" t="s">
        <v>263</v>
      </c>
      <c r="C6" s="89">
        <v>0.14000000000000001</v>
      </c>
      <c r="D6" s="89">
        <v>0.14000000000000001</v>
      </c>
    </row>
    <row r="7" spans="1:4" ht="13.15" customHeight="1">
      <c r="A7" s="95" t="s">
        <v>132</v>
      </c>
      <c r="B7" s="96" t="s">
        <v>131</v>
      </c>
      <c r="C7" s="89">
        <v>0.39</v>
      </c>
      <c r="D7" s="114">
        <v>0.39</v>
      </c>
    </row>
    <row r="8" spans="1:4" ht="13.15" customHeight="1">
      <c r="A8" s="95" t="s">
        <v>290</v>
      </c>
      <c r="B8" s="96" t="s">
        <v>291</v>
      </c>
      <c r="C8" s="89">
        <v>0.96</v>
      </c>
      <c r="D8" s="89">
        <v>0.96</v>
      </c>
    </row>
    <row r="9" spans="1:4" ht="13.15" customHeight="1">
      <c r="A9" s="95" t="s">
        <v>209</v>
      </c>
      <c r="B9" s="96" t="s">
        <v>210</v>
      </c>
      <c r="C9" s="89">
        <v>1.55</v>
      </c>
      <c r="D9" s="89">
        <v>1.55</v>
      </c>
    </row>
    <row r="10" spans="1:4" ht="13.15" customHeight="1">
      <c r="A10" s="180" t="s">
        <v>89</v>
      </c>
      <c r="B10" s="181"/>
      <c r="C10" s="181"/>
      <c r="D10" s="182"/>
    </row>
    <row r="11" spans="1:4" ht="13.15" customHeight="1">
      <c r="A11" s="46" t="s">
        <v>140</v>
      </c>
      <c r="B11" s="58" t="s">
        <v>141</v>
      </c>
      <c r="C11" s="75">
        <v>0.8</v>
      </c>
      <c r="D11" s="75">
        <v>0.8</v>
      </c>
    </row>
    <row r="12" spans="1:4" ht="13.15" customHeight="1">
      <c r="A12" s="95" t="s">
        <v>286</v>
      </c>
      <c r="B12" s="96" t="s">
        <v>287</v>
      </c>
      <c r="C12" s="89">
        <v>0.65</v>
      </c>
      <c r="D12" s="89">
        <v>0.65</v>
      </c>
    </row>
    <row r="13" spans="1:4" ht="13.15" customHeight="1">
      <c r="A13" s="180" t="s">
        <v>79</v>
      </c>
      <c r="B13" s="181"/>
      <c r="C13" s="181"/>
      <c r="D13" s="182"/>
    </row>
    <row r="14" spans="1:4" ht="13.15" customHeight="1">
      <c r="A14" s="95" t="s">
        <v>91</v>
      </c>
      <c r="B14" s="96" t="s">
        <v>90</v>
      </c>
      <c r="C14" s="89">
        <v>8.42</v>
      </c>
      <c r="D14" s="114">
        <v>8.42</v>
      </c>
    </row>
    <row r="15" spans="1:4" ht="13.15" customHeight="1">
      <c r="A15" s="95" t="s">
        <v>192</v>
      </c>
      <c r="B15" s="96" t="s">
        <v>193</v>
      </c>
      <c r="C15" s="89">
        <v>0.56999999999999995</v>
      </c>
      <c r="D15" s="89">
        <v>0.56999999999999995</v>
      </c>
    </row>
    <row r="16" spans="1:4" ht="13.15" customHeight="1">
      <c r="A16" s="95" t="s">
        <v>274</v>
      </c>
      <c r="B16" s="96" t="s">
        <v>275</v>
      </c>
      <c r="C16" s="89">
        <v>0.4</v>
      </c>
      <c r="D16" s="89">
        <v>0.4</v>
      </c>
    </row>
    <row r="17" spans="1:4" ht="13.15" customHeight="1">
      <c r="A17" s="180" t="s">
        <v>80</v>
      </c>
      <c r="B17" s="181"/>
      <c r="C17" s="181"/>
      <c r="D17" s="182"/>
    </row>
    <row r="18" spans="1:4" ht="13.15" customHeight="1">
      <c r="A18" s="95" t="s">
        <v>116</v>
      </c>
      <c r="B18" s="96" t="s">
        <v>117</v>
      </c>
      <c r="C18" s="89">
        <v>1.4</v>
      </c>
      <c r="D18" s="89">
        <v>1.4</v>
      </c>
    </row>
    <row r="19" spans="1:4" ht="13.15" customHeight="1">
      <c r="A19" s="95" t="s">
        <v>292</v>
      </c>
      <c r="B19" s="96" t="s">
        <v>293</v>
      </c>
      <c r="C19" s="89">
        <v>18.5</v>
      </c>
      <c r="D19" s="89">
        <v>18.5</v>
      </c>
    </row>
    <row r="20" spans="1:4" ht="13.15" customHeight="1">
      <c r="A20" s="95" t="s">
        <v>243</v>
      </c>
      <c r="B20" s="96" t="s">
        <v>244</v>
      </c>
      <c r="C20" s="89">
        <v>1.1399999999999999</v>
      </c>
      <c r="D20" s="89">
        <v>1.1399999999999999</v>
      </c>
    </row>
    <row r="21" spans="1:4" ht="13.15" customHeight="1">
      <c r="A21" s="95" t="s">
        <v>92</v>
      </c>
      <c r="B21" s="96" t="s">
        <v>93</v>
      </c>
      <c r="C21" s="89">
        <v>4.8</v>
      </c>
      <c r="D21" s="89">
        <v>4.8</v>
      </c>
    </row>
    <row r="22" spans="1:4" ht="13.15" customHeight="1">
      <c r="A22" s="95" t="s">
        <v>100</v>
      </c>
      <c r="B22" s="96" t="s">
        <v>101</v>
      </c>
      <c r="C22" s="89">
        <v>1.94</v>
      </c>
      <c r="D22" s="89">
        <v>1.94</v>
      </c>
    </row>
    <row r="23" spans="1:4" ht="13.15" customHeight="1">
      <c r="A23" s="180" t="s">
        <v>31</v>
      </c>
      <c r="B23" s="181"/>
      <c r="C23" s="181"/>
      <c r="D23" s="182"/>
    </row>
    <row r="24" spans="1:4" ht="13.15" customHeight="1">
      <c r="A24" s="46" t="s">
        <v>133</v>
      </c>
      <c r="B24" s="58" t="s">
        <v>134</v>
      </c>
      <c r="C24" s="89">
        <v>100</v>
      </c>
      <c r="D24" s="89">
        <v>100</v>
      </c>
    </row>
    <row r="25" spans="1:4" ht="13.15" customHeight="1">
      <c r="A25" s="46" t="s">
        <v>188</v>
      </c>
      <c r="B25" s="58" t="s">
        <v>189</v>
      </c>
      <c r="C25" s="89">
        <v>58</v>
      </c>
      <c r="D25" s="89">
        <v>58</v>
      </c>
    </row>
    <row r="26" spans="1:4" ht="13.15" customHeight="1">
      <c r="A26" s="187" t="s">
        <v>81</v>
      </c>
      <c r="B26" s="188"/>
      <c r="C26" s="188"/>
      <c r="D26" s="189"/>
    </row>
    <row r="27" spans="1:4" ht="13.15" customHeight="1">
      <c r="A27" s="46" t="s">
        <v>319</v>
      </c>
      <c r="B27" s="58" t="s">
        <v>320</v>
      </c>
      <c r="C27" s="89">
        <v>4.41</v>
      </c>
      <c r="D27" s="89">
        <v>4.4000000000000004</v>
      </c>
    </row>
    <row r="28" spans="1:4" ht="13.15" customHeight="1">
      <c r="A28" s="46" t="s">
        <v>160</v>
      </c>
      <c r="B28" s="58" t="s">
        <v>161</v>
      </c>
      <c r="C28" s="89">
        <v>5.6</v>
      </c>
      <c r="D28" s="89">
        <v>5.6</v>
      </c>
    </row>
    <row r="29" spans="1:4" ht="13.15" customHeight="1">
      <c r="A29" s="46" t="s">
        <v>224</v>
      </c>
      <c r="B29" s="58" t="s">
        <v>225</v>
      </c>
      <c r="C29" s="75">
        <v>11</v>
      </c>
      <c r="D29" s="75">
        <v>11</v>
      </c>
    </row>
    <row r="30" spans="1:4" ht="13.15" customHeight="1">
      <c r="A30" s="71" t="s">
        <v>39</v>
      </c>
      <c r="B30" s="71" t="s">
        <v>20</v>
      </c>
      <c r="C30" s="71" t="s">
        <v>88</v>
      </c>
      <c r="D30" s="71" t="s">
        <v>19</v>
      </c>
    </row>
    <row r="31" spans="1:4" ht="13.15" customHeight="1">
      <c r="A31" s="180" t="s">
        <v>29</v>
      </c>
      <c r="B31" s="181"/>
      <c r="C31" s="181"/>
      <c r="D31" s="182"/>
    </row>
    <row r="32" spans="1:4" ht="13.15" customHeight="1">
      <c r="A32" s="95" t="s">
        <v>235</v>
      </c>
      <c r="B32" s="96" t="s">
        <v>236</v>
      </c>
      <c r="C32" s="89">
        <v>0.46</v>
      </c>
      <c r="D32" s="89">
        <v>0.46</v>
      </c>
    </row>
    <row r="33" spans="1:4" ht="13.15" customHeight="1">
      <c r="A33" s="95" t="s">
        <v>207</v>
      </c>
      <c r="B33" s="96" t="s">
        <v>208</v>
      </c>
      <c r="C33" s="114">
        <v>1.03</v>
      </c>
      <c r="D33" s="114">
        <v>1.03</v>
      </c>
    </row>
    <row r="34" spans="1:4" ht="13.15" customHeight="1">
      <c r="A34" s="95" t="s">
        <v>182</v>
      </c>
      <c r="B34" s="96" t="s">
        <v>183</v>
      </c>
      <c r="C34" s="89">
        <v>0.05</v>
      </c>
      <c r="D34" s="89">
        <v>0.05</v>
      </c>
    </row>
    <row r="35" spans="1:4" ht="13.15" customHeight="1">
      <c r="A35" s="95" t="s">
        <v>294</v>
      </c>
      <c r="B35" s="96" t="s">
        <v>295</v>
      </c>
      <c r="C35" s="89">
        <v>0.1</v>
      </c>
      <c r="D35" s="89">
        <v>0.1</v>
      </c>
    </row>
    <row r="36" spans="1:4" ht="13.15" customHeight="1">
      <c r="A36" s="46" t="s">
        <v>152</v>
      </c>
      <c r="B36" s="58" t="s">
        <v>153</v>
      </c>
      <c r="C36" s="89">
        <v>7.0000000000000007E-2</v>
      </c>
      <c r="D36" s="89">
        <v>7.0000000000000007E-2</v>
      </c>
    </row>
    <row r="37" spans="1:4" ht="13.15" customHeight="1">
      <c r="A37" s="95" t="s">
        <v>222</v>
      </c>
      <c r="B37" s="96" t="s">
        <v>223</v>
      </c>
      <c r="C37" s="89">
        <v>0.85</v>
      </c>
      <c r="D37" s="89">
        <v>0.85</v>
      </c>
    </row>
    <row r="38" spans="1:4" ht="13.15" customHeight="1">
      <c r="A38" s="95" t="s">
        <v>264</v>
      </c>
      <c r="B38" s="96" t="s">
        <v>265</v>
      </c>
      <c r="C38" s="89">
        <v>1</v>
      </c>
      <c r="D38" s="89">
        <v>1</v>
      </c>
    </row>
    <row r="39" spans="1:4" ht="13.15" customHeight="1">
      <c r="A39" s="95" t="s">
        <v>166</v>
      </c>
      <c r="B39" s="96" t="s">
        <v>167</v>
      </c>
      <c r="C39" s="89">
        <v>0.25</v>
      </c>
      <c r="D39" s="89">
        <v>0.25</v>
      </c>
    </row>
    <row r="40" spans="1:4" ht="13.15" customHeight="1">
      <c r="A40" s="95" t="s">
        <v>168</v>
      </c>
      <c r="B40" s="96" t="s">
        <v>169</v>
      </c>
      <c r="C40" s="89">
        <v>0.2</v>
      </c>
      <c r="D40" s="89">
        <v>0.2</v>
      </c>
    </row>
    <row r="41" spans="1:4" ht="13.15" customHeight="1">
      <c r="A41" s="95" t="s">
        <v>237</v>
      </c>
      <c r="B41" s="96" t="s">
        <v>238</v>
      </c>
      <c r="C41" s="89">
        <v>1</v>
      </c>
      <c r="D41" s="89">
        <v>1</v>
      </c>
    </row>
    <row r="42" spans="1:4" ht="13.15" customHeight="1">
      <c r="A42" s="95" t="s">
        <v>194</v>
      </c>
      <c r="B42" s="96" t="s">
        <v>195</v>
      </c>
      <c r="C42" s="89">
        <v>1</v>
      </c>
      <c r="D42" s="89">
        <v>1</v>
      </c>
    </row>
    <row r="43" spans="1:4" ht="13.15" customHeight="1">
      <c r="A43" s="46" t="s">
        <v>205</v>
      </c>
      <c r="B43" s="58" t="s">
        <v>206</v>
      </c>
      <c r="C43" s="75">
        <v>0.11</v>
      </c>
      <c r="D43" s="89">
        <v>0.11</v>
      </c>
    </row>
    <row r="44" spans="1:4" ht="13.15" customHeight="1">
      <c r="A44" s="95" t="s">
        <v>197</v>
      </c>
      <c r="B44" s="96" t="s">
        <v>198</v>
      </c>
      <c r="C44" s="89">
        <v>1.01</v>
      </c>
      <c r="D44" s="89">
        <v>1.01</v>
      </c>
    </row>
    <row r="45" spans="1:4" ht="13.15" customHeight="1">
      <c r="A45" s="95" t="s">
        <v>156</v>
      </c>
      <c r="B45" s="96" t="s">
        <v>157</v>
      </c>
      <c r="C45" s="89">
        <v>1.05</v>
      </c>
      <c r="D45" s="89">
        <v>1.05</v>
      </c>
    </row>
    <row r="46" spans="1:4" ht="13.15" customHeight="1">
      <c r="A46" s="46" t="s">
        <v>121</v>
      </c>
      <c r="B46" s="58" t="s">
        <v>122</v>
      </c>
      <c r="C46" s="80">
        <v>0.75</v>
      </c>
      <c r="D46" s="80">
        <v>0.75</v>
      </c>
    </row>
    <row r="47" spans="1:4" ht="13.15" customHeight="1">
      <c r="A47" s="180" t="s">
        <v>118</v>
      </c>
      <c r="B47" s="181"/>
      <c r="C47" s="181"/>
      <c r="D47" s="182"/>
    </row>
    <row r="48" spans="1:4" ht="13.15" customHeight="1">
      <c r="A48" s="95" t="s">
        <v>228</v>
      </c>
      <c r="B48" s="96" t="s">
        <v>229</v>
      </c>
      <c r="C48" s="89">
        <v>1.26</v>
      </c>
      <c r="D48" s="89">
        <v>1.26</v>
      </c>
    </row>
    <row r="49" spans="1:4" ht="13.15" customHeight="1">
      <c r="A49" s="46" t="s">
        <v>143</v>
      </c>
      <c r="B49" s="58" t="s">
        <v>142</v>
      </c>
      <c r="C49" s="89">
        <v>0.68</v>
      </c>
      <c r="D49" s="89">
        <v>0.68</v>
      </c>
    </row>
    <row r="50" spans="1:4" ht="13.15" customHeight="1">
      <c r="A50" s="180" t="s">
        <v>89</v>
      </c>
      <c r="B50" s="181"/>
      <c r="C50" s="181"/>
      <c r="D50" s="182"/>
    </row>
    <row r="51" spans="1:4" ht="13.15" customHeight="1">
      <c r="A51" s="95" t="s">
        <v>241</v>
      </c>
      <c r="B51" s="96" t="s">
        <v>242</v>
      </c>
      <c r="C51" s="75">
        <v>0.7</v>
      </c>
      <c r="D51" s="75">
        <v>0.7</v>
      </c>
    </row>
    <row r="52" spans="1:4" ht="13.15" customHeight="1">
      <c r="A52" s="180" t="s">
        <v>79</v>
      </c>
      <c r="B52" s="181"/>
      <c r="C52" s="181"/>
      <c r="D52" s="182"/>
    </row>
    <row r="53" spans="1:4" ht="13.15" customHeight="1">
      <c r="A53" s="95" t="s">
        <v>186</v>
      </c>
      <c r="B53" s="96" t="s">
        <v>187</v>
      </c>
      <c r="C53" s="89">
        <v>1</v>
      </c>
      <c r="D53" s="89">
        <v>1</v>
      </c>
    </row>
    <row r="54" spans="1:4" ht="13.15" customHeight="1">
      <c r="A54" s="180" t="s">
        <v>80</v>
      </c>
      <c r="B54" s="181"/>
      <c r="C54" s="181"/>
      <c r="D54" s="182"/>
    </row>
    <row r="55" spans="1:4" ht="13.15" customHeight="1">
      <c r="A55" s="46" t="s">
        <v>83</v>
      </c>
      <c r="B55" s="58" t="s">
        <v>35</v>
      </c>
      <c r="C55" s="89">
        <v>1</v>
      </c>
      <c r="D55" s="89">
        <v>1</v>
      </c>
    </row>
    <row r="56" spans="1:4" ht="13.15" customHeight="1">
      <c r="A56" s="95" t="s">
        <v>299</v>
      </c>
      <c r="B56" s="96" t="s">
        <v>300</v>
      </c>
      <c r="C56" s="89">
        <v>3</v>
      </c>
      <c r="D56" s="89">
        <v>3</v>
      </c>
    </row>
    <row r="57" spans="1:4" ht="13.15" customHeight="1">
      <c r="A57" s="95" t="s">
        <v>177</v>
      </c>
      <c r="B57" s="96" t="s">
        <v>176</v>
      </c>
      <c r="C57" s="89">
        <v>100</v>
      </c>
      <c r="D57" s="89">
        <v>100</v>
      </c>
    </row>
    <row r="58" spans="1:4" ht="13.15" customHeight="1">
      <c r="A58" s="71" t="s">
        <v>39</v>
      </c>
      <c r="B58" s="71" t="s">
        <v>20</v>
      </c>
      <c r="C58" s="71" t="s">
        <v>88</v>
      </c>
      <c r="D58" s="71" t="s">
        <v>19</v>
      </c>
    </row>
    <row r="59" spans="1:4" ht="13.15" customHeight="1">
      <c r="A59" s="180" t="s">
        <v>29</v>
      </c>
      <c r="B59" s="181"/>
      <c r="C59" s="181"/>
      <c r="D59" s="182"/>
    </row>
    <row r="60" spans="1:4" ht="13.15" customHeight="1">
      <c r="A60" s="95" t="s">
        <v>305</v>
      </c>
      <c r="B60" s="96" t="s">
        <v>306</v>
      </c>
      <c r="C60" s="89">
        <v>1</v>
      </c>
      <c r="D60" s="89">
        <v>1</v>
      </c>
    </row>
    <row r="61" spans="1:4" ht="13.15" customHeight="1">
      <c r="A61" s="180" t="s">
        <v>80</v>
      </c>
      <c r="B61" s="181"/>
      <c r="C61" s="181"/>
      <c r="D61" s="182"/>
    </row>
    <row r="62" spans="1:4" ht="13.15" customHeight="1">
      <c r="A62" s="83" t="s">
        <v>179</v>
      </c>
      <c r="B62" s="84" t="s">
        <v>178</v>
      </c>
      <c r="C62" s="89">
        <v>1.56</v>
      </c>
      <c r="D62" s="89">
        <v>1.6</v>
      </c>
    </row>
    <row r="63" spans="1:4" ht="13.15" customHeight="1">
      <c r="A63" s="83" t="s">
        <v>36</v>
      </c>
      <c r="B63" s="84" t="s">
        <v>37</v>
      </c>
      <c r="C63" s="114">
        <v>1.25</v>
      </c>
      <c r="D63" s="89">
        <v>1.24</v>
      </c>
    </row>
    <row r="64" spans="1:4" ht="13.15" customHeight="1">
      <c r="A64" s="180" t="s">
        <v>31</v>
      </c>
      <c r="B64" s="181"/>
      <c r="C64" s="181"/>
      <c r="D64" s="182"/>
    </row>
    <row r="65" spans="1:4" ht="13.15" customHeight="1">
      <c r="A65" s="95" t="s">
        <v>268</v>
      </c>
      <c r="B65" s="96" t="s">
        <v>269</v>
      </c>
      <c r="C65" s="89">
        <v>9.25</v>
      </c>
      <c r="D65" s="89">
        <v>9.25</v>
      </c>
    </row>
  </sheetData>
  <mergeCells count="15">
    <mergeCell ref="A61:D61"/>
    <mergeCell ref="A64:D64"/>
    <mergeCell ref="A50:D50"/>
    <mergeCell ref="A1:D1"/>
    <mergeCell ref="A3:D3"/>
    <mergeCell ref="A26:D26"/>
    <mergeCell ref="A31:D31"/>
    <mergeCell ref="A17:D17"/>
    <mergeCell ref="A13:D13"/>
    <mergeCell ref="A23:D23"/>
    <mergeCell ref="A54:D54"/>
    <mergeCell ref="A52:D52"/>
    <mergeCell ref="A59:D59"/>
    <mergeCell ref="A10:D10"/>
    <mergeCell ref="A47:D47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"/>
  <sheetViews>
    <sheetView zoomScale="120" zoomScaleNormal="120" workbookViewId="0">
      <selection activeCell="L9" sqref="L9"/>
    </sheetView>
  </sheetViews>
  <sheetFormatPr defaultColWidth="9.140625" defaultRowHeight="16.5" customHeight="1"/>
  <cols>
    <col min="1" max="1" width="5.28515625" style="10" customWidth="1"/>
    <col min="2" max="2" width="27.42578125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10" ht="12.75" customHeight="1">
      <c r="B1" s="190" t="s">
        <v>0</v>
      </c>
      <c r="C1" s="191"/>
      <c r="D1" s="192"/>
      <c r="E1" s="6"/>
      <c r="F1" s="10"/>
      <c r="G1" s="10"/>
      <c r="H1" s="10"/>
      <c r="I1" s="10"/>
    </row>
    <row r="2" spans="1:10" ht="9" customHeight="1">
      <c r="B2" s="193"/>
      <c r="C2" s="194"/>
      <c r="D2" s="195"/>
      <c r="E2" s="6"/>
      <c r="F2" s="10"/>
      <c r="G2" s="10"/>
      <c r="H2" s="10"/>
      <c r="I2" s="10"/>
    </row>
    <row r="3" spans="1:10" ht="18" customHeight="1">
      <c r="B3" s="86" t="s">
        <v>328</v>
      </c>
      <c r="C3" s="6"/>
      <c r="D3" s="6"/>
      <c r="E3" s="6"/>
      <c r="F3" s="6"/>
      <c r="G3" s="6"/>
      <c r="H3" s="6"/>
      <c r="I3" s="6"/>
    </row>
    <row r="4" spans="1:10" s="6" customFormat="1" ht="13.5" customHeight="1"/>
    <row r="5" spans="1:10" s="101" customFormat="1" ht="13.5" customHeight="1">
      <c r="A5" s="6"/>
      <c r="B5" s="6"/>
      <c r="C5" s="6"/>
      <c r="D5" s="6"/>
      <c r="E5" s="6"/>
      <c r="F5" s="6"/>
      <c r="G5" s="6"/>
      <c r="H5" s="6"/>
      <c r="I5" s="6"/>
    </row>
    <row r="6" spans="1:10" s="101" customFormat="1" ht="24.75" customHeight="1">
      <c r="A6" s="6"/>
      <c r="B6" s="196" t="s">
        <v>333</v>
      </c>
      <c r="C6" s="197"/>
      <c r="D6" s="197"/>
      <c r="E6" s="197"/>
      <c r="F6" s="197"/>
      <c r="G6" s="197"/>
      <c r="H6" s="197"/>
      <c r="I6" s="198"/>
    </row>
    <row r="7" spans="1:10" s="101" customFormat="1" ht="38.25" customHeight="1">
      <c r="A7" s="6"/>
      <c r="B7" s="102" t="s">
        <v>15</v>
      </c>
      <c r="C7" s="103" t="s">
        <v>20</v>
      </c>
      <c r="D7" s="103" t="s">
        <v>22</v>
      </c>
      <c r="E7" s="103" t="s">
        <v>23</v>
      </c>
      <c r="F7" s="103" t="s">
        <v>24</v>
      </c>
      <c r="G7" s="104" t="s">
        <v>28</v>
      </c>
      <c r="H7" s="104" t="s">
        <v>18</v>
      </c>
      <c r="I7" s="105" t="s">
        <v>7</v>
      </c>
    </row>
    <row r="8" spans="1:10" s="101" customFormat="1" ht="15" customHeight="1">
      <c r="A8" s="6"/>
      <c r="B8" s="199" t="s">
        <v>29</v>
      </c>
      <c r="C8" s="200"/>
      <c r="D8" s="200"/>
      <c r="E8" s="200"/>
      <c r="F8" s="200"/>
      <c r="G8" s="200"/>
      <c r="H8" s="200"/>
      <c r="I8" s="201"/>
    </row>
    <row r="9" spans="1:10" s="101" customFormat="1" ht="15" customHeight="1">
      <c r="A9" s="6"/>
      <c r="B9" s="106" t="s">
        <v>170</v>
      </c>
      <c r="C9" s="107" t="s">
        <v>171</v>
      </c>
      <c r="D9" s="108">
        <v>0.11</v>
      </c>
      <c r="E9" s="108">
        <v>0.11</v>
      </c>
      <c r="F9" s="108">
        <v>0.11</v>
      </c>
      <c r="G9" s="94">
        <v>5</v>
      </c>
      <c r="H9" s="94">
        <v>10000000</v>
      </c>
      <c r="I9" s="94">
        <v>1100000</v>
      </c>
    </row>
    <row r="10" spans="1:10" s="101" customFormat="1" ht="15" customHeight="1">
      <c r="A10" s="6"/>
      <c r="B10" s="109" t="s">
        <v>325</v>
      </c>
      <c r="C10" s="202"/>
      <c r="D10" s="203"/>
      <c r="E10" s="203"/>
      <c r="F10" s="204"/>
      <c r="G10" s="110">
        <f>G9</f>
        <v>5</v>
      </c>
      <c r="H10" s="110">
        <f t="shared" ref="H10:I10" si="0">H9</f>
        <v>10000000</v>
      </c>
      <c r="I10" s="110">
        <f t="shared" si="0"/>
        <v>1100000</v>
      </c>
      <c r="J10" s="117"/>
    </row>
    <row r="11" spans="1:10" s="101" customFormat="1" ht="15" customHeight="1">
      <c r="A11" s="6"/>
      <c r="B11" s="199" t="s">
        <v>69</v>
      </c>
      <c r="C11" s="200"/>
      <c r="D11" s="200"/>
      <c r="E11" s="200"/>
      <c r="F11" s="200"/>
      <c r="G11" s="200"/>
      <c r="H11" s="200"/>
      <c r="I11" s="201"/>
    </row>
    <row r="12" spans="1:10" s="101" customFormat="1" ht="15" customHeight="1">
      <c r="A12" s="6"/>
      <c r="B12" s="106" t="s">
        <v>94</v>
      </c>
      <c r="C12" s="107" t="s">
        <v>95</v>
      </c>
      <c r="D12" s="108">
        <v>10</v>
      </c>
      <c r="E12" s="108">
        <v>10</v>
      </c>
      <c r="F12" s="108">
        <v>10</v>
      </c>
      <c r="G12" s="94">
        <v>4</v>
      </c>
      <c r="H12" s="94">
        <v>20934</v>
      </c>
      <c r="I12" s="94">
        <v>209340</v>
      </c>
    </row>
    <row r="13" spans="1:10" s="101" customFormat="1" ht="15" customHeight="1">
      <c r="A13" s="6"/>
      <c r="B13" s="109" t="s">
        <v>318</v>
      </c>
      <c r="C13" s="202"/>
      <c r="D13" s="203"/>
      <c r="E13" s="203"/>
      <c r="F13" s="204"/>
      <c r="G13" s="110">
        <f>SUM(G12)</f>
        <v>4</v>
      </c>
      <c r="H13" s="110">
        <f>SUM(H12)</f>
        <v>20934</v>
      </c>
      <c r="I13" s="110">
        <f>SUM(I12)</f>
        <v>209340</v>
      </c>
    </row>
    <row r="14" spans="1:10" s="101" customFormat="1" ht="15" customHeight="1">
      <c r="A14" s="6"/>
      <c r="B14" s="199" t="s">
        <v>280</v>
      </c>
      <c r="C14" s="200"/>
      <c r="D14" s="200"/>
      <c r="E14" s="200"/>
      <c r="F14" s="200"/>
      <c r="G14" s="200"/>
      <c r="H14" s="200"/>
      <c r="I14" s="201"/>
    </row>
    <row r="15" spans="1:10" s="101" customFormat="1" ht="15" customHeight="1">
      <c r="A15" s="6"/>
      <c r="B15" s="106" t="s">
        <v>282</v>
      </c>
      <c r="C15" s="107" t="s">
        <v>281</v>
      </c>
      <c r="D15" s="108">
        <v>0.71</v>
      </c>
      <c r="E15" s="108">
        <v>0.71</v>
      </c>
      <c r="F15" s="108">
        <v>0.71</v>
      </c>
      <c r="G15" s="94">
        <v>14</v>
      </c>
      <c r="H15" s="94">
        <v>400000</v>
      </c>
      <c r="I15" s="94">
        <v>284000</v>
      </c>
    </row>
    <row r="16" spans="1:10" s="101" customFormat="1" ht="15" customHeight="1">
      <c r="A16" s="6"/>
      <c r="B16" s="109" t="s">
        <v>296</v>
      </c>
      <c r="C16" s="202"/>
      <c r="D16" s="203"/>
      <c r="E16" s="203"/>
      <c r="F16" s="204"/>
      <c r="G16" s="110">
        <f>SUM(G15:G15)</f>
        <v>14</v>
      </c>
      <c r="H16" s="110">
        <f>SUM(H15:H15)</f>
        <v>400000</v>
      </c>
      <c r="I16" s="110">
        <f>SUM(I15:I15)</f>
        <v>284000</v>
      </c>
    </row>
    <row r="17" spans="2:9" ht="19.5" customHeight="1">
      <c r="B17" s="111" t="s">
        <v>283</v>
      </c>
      <c r="C17" s="205"/>
      <c r="D17" s="206"/>
      <c r="E17" s="206"/>
      <c r="F17" s="207"/>
      <c r="G17" s="112">
        <f>G13+G16+G10</f>
        <v>23</v>
      </c>
      <c r="H17" s="112">
        <f t="shared" ref="H17:I17" si="1">H13+H16+H10</f>
        <v>10420934</v>
      </c>
      <c r="I17" s="112">
        <f t="shared" si="1"/>
        <v>1593340</v>
      </c>
    </row>
    <row r="18" spans="2:9" ht="11.1" customHeight="1">
      <c r="B18" s="1"/>
      <c r="C18" s="1"/>
      <c r="D18" s="1"/>
      <c r="E18" s="1"/>
      <c r="F18" s="1"/>
      <c r="G18" s="32"/>
      <c r="H18" s="32"/>
      <c r="I18" s="32"/>
    </row>
    <row r="19" spans="2:9" ht="11.1" customHeight="1">
      <c r="B19" s="1"/>
      <c r="C19" s="1"/>
      <c r="D19" s="1"/>
      <c r="E19" s="1"/>
      <c r="F19" s="1"/>
      <c r="G19" s="1"/>
      <c r="H19" s="1"/>
      <c r="I19" s="1"/>
    </row>
    <row r="20" spans="2:9" ht="11.1" customHeight="1">
      <c r="B20" s="1"/>
      <c r="C20" s="1"/>
      <c r="D20" s="1"/>
      <c r="E20" s="1"/>
      <c r="F20" s="1"/>
      <c r="G20" s="1"/>
      <c r="H20" s="1"/>
      <c r="I20" s="1"/>
    </row>
    <row r="21" spans="2:9" ht="11.1" customHeight="1">
      <c r="B21" s="1"/>
      <c r="C21" s="1"/>
      <c r="D21" s="1"/>
      <c r="E21" s="1"/>
      <c r="F21" s="1"/>
      <c r="G21" s="1"/>
      <c r="H21" s="1"/>
      <c r="I21" s="1"/>
    </row>
    <row r="22" spans="2:9" ht="11.1" customHeight="1">
      <c r="B22" s="1"/>
      <c r="C22" s="1"/>
      <c r="D22" s="1"/>
      <c r="E22" s="1"/>
      <c r="F22" s="1"/>
      <c r="G22" s="1"/>
      <c r="H22" s="1"/>
      <c r="I22" s="1"/>
    </row>
    <row r="23" spans="2:9" ht="11.1" customHeight="1">
      <c r="B23" s="1"/>
      <c r="C23" s="1"/>
      <c r="D23" s="1"/>
      <c r="E23" s="1"/>
      <c r="F23" s="1"/>
      <c r="G23" s="1"/>
      <c r="H23" s="1"/>
      <c r="I23" s="1"/>
    </row>
    <row r="24" spans="2:9" ht="11.1" customHeight="1">
      <c r="B24" s="1"/>
      <c r="C24" s="1"/>
      <c r="D24" s="1"/>
      <c r="E24" s="1"/>
      <c r="F24" s="1"/>
      <c r="G24" s="1"/>
      <c r="H24" s="1"/>
      <c r="I24" s="1"/>
    </row>
    <row r="25" spans="2:9" ht="11.1" customHeight="1">
      <c r="B25" s="1"/>
      <c r="C25" s="1"/>
      <c r="D25" s="1"/>
      <c r="E25" s="1"/>
      <c r="F25" s="1"/>
      <c r="G25" s="1"/>
      <c r="H25" s="1"/>
      <c r="I25" s="1"/>
    </row>
    <row r="26" spans="2:9" ht="11.1" customHeight="1">
      <c r="B26" s="1"/>
      <c r="C26" s="1"/>
      <c r="D26" s="1"/>
      <c r="E26" s="1"/>
      <c r="F26" s="1"/>
      <c r="G26" s="1"/>
      <c r="H26" s="1"/>
      <c r="I26" s="1"/>
    </row>
    <row r="27" spans="2:9" ht="11.1" customHeight="1">
      <c r="B27" s="1"/>
      <c r="C27" s="1"/>
      <c r="D27" s="1"/>
      <c r="E27" s="1"/>
      <c r="F27" s="1"/>
      <c r="G27" s="1"/>
      <c r="H27" s="1"/>
      <c r="I27" s="1"/>
    </row>
    <row r="28" spans="2:9" ht="11.1" customHeight="1">
      <c r="B28" s="1"/>
      <c r="C28" s="1"/>
      <c r="D28" s="1"/>
      <c r="E28" s="1"/>
      <c r="F28" s="1"/>
      <c r="G28" s="1"/>
      <c r="H28" s="1"/>
      <c r="I28" s="1"/>
    </row>
    <row r="29" spans="2:9" ht="11.1" customHeight="1">
      <c r="B29" s="1"/>
      <c r="C29" s="1"/>
      <c r="D29" s="1"/>
      <c r="E29" s="1"/>
      <c r="F29" s="1"/>
      <c r="G29" s="1"/>
      <c r="H29" s="1"/>
      <c r="I29" s="1"/>
    </row>
    <row r="30" spans="2:9" ht="11.1" customHeight="1">
      <c r="B30" s="1"/>
      <c r="C30" s="1"/>
      <c r="D30" s="1"/>
      <c r="E30" s="1"/>
      <c r="F30" s="1"/>
      <c r="G30" s="1"/>
      <c r="H30" s="1"/>
      <c r="I30" s="1"/>
    </row>
    <row r="31" spans="2:9" ht="11.1" customHeight="1">
      <c r="B31" s="1"/>
      <c r="C31" s="1"/>
      <c r="D31" s="1"/>
      <c r="E31" s="1"/>
      <c r="F31" s="1"/>
      <c r="G31" s="1"/>
      <c r="H31" s="1"/>
      <c r="I31" s="1"/>
    </row>
    <row r="32" spans="2:9" ht="11.1" customHeight="1">
      <c r="B32" s="1"/>
      <c r="C32" s="1"/>
      <c r="D32" s="1"/>
      <c r="E32" s="1"/>
      <c r="F32" s="1"/>
      <c r="G32" s="1"/>
      <c r="H32" s="1"/>
      <c r="I32" s="1"/>
    </row>
    <row r="33" spans="2:9" ht="11.1" customHeight="1">
      <c r="B33" s="1"/>
      <c r="C33" s="1"/>
      <c r="D33" s="1"/>
      <c r="E33" s="1"/>
      <c r="F33" s="1"/>
      <c r="G33" s="1"/>
      <c r="H33" s="1"/>
      <c r="I33" s="1"/>
    </row>
    <row r="34" spans="2:9" ht="11.1" customHeight="1">
      <c r="B34" s="1"/>
      <c r="C34" s="1"/>
      <c r="D34" s="1"/>
      <c r="E34" s="1"/>
      <c r="F34" s="1"/>
      <c r="G34" s="1"/>
      <c r="H34" s="1"/>
      <c r="I34" s="1"/>
    </row>
    <row r="35" spans="2:9" ht="11.1" customHeight="1">
      <c r="B35" s="1"/>
      <c r="C35" s="1"/>
      <c r="D35" s="1"/>
      <c r="E35" s="1"/>
      <c r="F35" s="1"/>
      <c r="G35" s="1"/>
      <c r="H35" s="1"/>
      <c r="I35" s="1"/>
    </row>
    <row r="36" spans="2:9" ht="11.1" customHeight="1">
      <c r="B36" s="1"/>
      <c r="C36" s="1"/>
      <c r="D36" s="1"/>
      <c r="E36" s="1"/>
      <c r="F36" s="1"/>
      <c r="G36" s="1"/>
      <c r="H36" s="1"/>
      <c r="I36" s="1"/>
    </row>
    <row r="37" spans="2:9" ht="11.1" customHeight="1">
      <c r="B37" s="1"/>
      <c r="C37" s="1"/>
      <c r="D37" s="1"/>
      <c r="E37" s="1"/>
      <c r="F37" s="1"/>
      <c r="G37" s="1"/>
      <c r="H37" s="1"/>
      <c r="I37" s="1"/>
    </row>
    <row r="38" spans="2:9" ht="11.1" customHeight="1">
      <c r="B38" s="1"/>
      <c r="C38" s="1"/>
      <c r="D38" s="1"/>
      <c r="E38" s="1"/>
      <c r="F38" s="1"/>
      <c r="G38" s="1"/>
      <c r="H38" s="1"/>
      <c r="I38" s="1"/>
    </row>
    <row r="39" spans="2:9" ht="11.1" customHeight="1">
      <c r="B39" s="1"/>
      <c r="C39" s="1"/>
      <c r="D39" s="1"/>
      <c r="E39" s="1"/>
      <c r="F39" s="1"/>
      <c r="G39" s="1"/>
      <c r="H39" s="1"/>
      <c r="I39" s="1"/>
    </row>
    <row r="40" spans="2:9" ht="11.1" customHeight="1">
      <c r="B40" s="1"/>
      <c r="C40" s="1"/>
      <c r="D40" s="1"/>
      <c r="E40" s="1"/>
      <c r="F40" s="1"/>
      <c r="G40" s="1"/>
      <c r="H40" s="1"/>
      <c r="I40" s="1"/>
    </row>
    <row r="41" spans="2:9" ht="11.1" customHeight="1">
      <c r="B41" s="1"/>
      <c r="C41" s="1"/>
      <c r="D41" s="1"/>
      <c r="E41" s="1"/>
      <c r="F41" s="1"/>
      <c r="G41" s="1"/>
      <c r="H41" s="1"/>
      <c r="I41" s="1"/>
    </row>
    <row r="42" spans="2:9" ht="11.1" customHeight="1">
      <c r="B42" s="1"/>
      <c r="C42" s="1"/>
      <c r="D42" s="1"/>
      <c r="E42" s="1"/>
      <c r="F42" s="1"/>
      <c r="G42" s="1"/>
      <c r="H42" s="1"/>
      <c r="I42" s="1"/>
    </row>
    <row r="43" spans="2:9" ht="16.5" customHeight="1">
      <c r="B43" s="1"/>
      <c r="C43" s="1"/>
      <c r="D43" s="1"/>
      <c r="E43" s="1"/>
      <c r="F43" s="1"/>
      <c r="G43" s="1"/>
      <c r="H43" s="1"/>
      <c r="I43" s="1"/>
    </row>
    <row r="44" spans="2:9" ht="16.5" customHeight="1">
      <c r="B44" s="1"/>
      <c r="C44" s="1"/>
      <c r="D44" s="1"/>
      <c r="E44" s="1"/>
      <c r="F44" s="1"/>
      <c r="G44" s="1"/>
      <c r="H44" s="1"/>
      <c r="I44" s="1"/>
    </row>
    <row r="45" spans="2:9" ht="16.5" customHeight="1">
      <c r="B45" s="1"/>
      <c r="C45" s="1"/>
      <c r="D45" s="1"/>
      <c r="E45" s="1"/>
      <c r="F45" s="1"/>
      <c r="G45" s="1"/>
      <c r="H45" s="1"/>
      <c r="I45" s="1"/>
    </row>
  </sheetData>
  <mergeCells count="9">
    <mergeCell ref="B1:D2"/>
    <mergeCell ref="B6:I6"/>
    <mergeCell ref="B11:I11"/>
    <mergeCell ref="C13:F13"/>
    <mergeCell ref="C17:F17"/>
    <mergeCell ref="B14:I14"/>
    <mergeCell ref="C16:F16"/>
    <mergeCell ref="B8:I8"/>
    <mergeCell ref="C10:F10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AD76-EA03-4CCB-9E2B-F912B779DADA}">
  <dimension ref="B1:I31"/>
  <sheetViews>
    <sheetView zoomScale="115" zoomScaleNormal="115" workbookViewId="0">
      <selection activeCell="L7" sqref="L7"/>
    </sheetView>
  </sheetViews>
  <sheetFormatPr defaultRowHeight="15"/>
  <cols>
    <col min="1" max="1" width="3.42578125" customWidth="1"/>
    <col min="4" max="4" width="17.42578125" customWidth="1"/>
  </cols>
  <sheetData>
    <row r="1" spans="2:9" ht="28.5" customHeight="1">
      <c r="B1" s="240" t="s">
        <v>334</v>
      </c>
      <c r="C1" s="240"/>
      <c r="D1" s="240"/>
      <c r="E1" s="240"/>
      <c r="F1" s="240"/>
      <c r="G1" s="240"/>
      <c r="H1" s="240"/>
      <c r="I1" s="240"/>
    </row>
    <row r="2" spans="2:9" ht="26.25" customHeight="1">
      <c r="B2" s="241" t="s">
        <v>15</v>
      </c>
      <c r="C2" s="242"/>
      <c r="D2" s="243"/>
      <c r="E2" s="241" t="s">
        <v>20</v>
      </c>
      <c r="F2" s="243"/>
      <c r="G2" s="244" t="s">
        <v>41</v>
      </c>
      <c r="H2" s="242"/>
      <c r="I2" s="243"/>
    </row>
    <row r="3" spans="2:9" ht="15.95" customHeight="1">
      <c r="B3" s="245" t="s">
        <v>29</v>
      </c>
      <c r="C3" s="168"/>
      <c r="D3" s="168"/>
      <c r="E3" s="168"/>
      <c r="F3" s="168"/>
      <c r="G3" s="168"/>
      <c r="H3" s="168"/>
      <c r="I3" s="246"/>
    </row>
    <row r="4" spans="2:9" ht="15.95" customHeight="1">
      <c r="B4" s="213" t="s">
        <v>272</v>
      </c>
      <c r="C4" s="214"/>
      <c r="D4" s="215"/>
      <c r="E4" s="202" t="s">
        <v>273</v>
      </c>
      <c r="F4" s="216"/>
      <c r="G4" s="202" t="s">
        <v>68</v>
      </c>
      <c r="H4" s="203"/>
      <c r="I4" s="216"/>
    </row>
    <row r="5" spans="2:9" ht="15.95" customHeight="1">
      <c r="B5" s="213" t="s">
        <v>184</v>
      </c>
      <c r="C5" s="238" t="s">
        <v>185</v>
      </c>
      <c r="D5" s="215"/>
      <c r="E5" s="202" t="s">
        <v>185</v>
      </c>
      <c r="F5" s="216"/>
      <c r="G5" s="202">
        <v>3</v>
      </c>
      <c r="H5" s="239"/>
      <c r="I5" s="216"/>
    </row>
    <row r="6" spans="2:9" ht="15.95" customHeight="1">
      <c r="B6" s="229" t="s">
        <v>69</v>
      </c>
      <c r="C6" s="230"/>
      <c r="D6" s="230"/>
      <c r="E6" s="230"/>
      <c r="F6" s="230"/>
      <c r="G6" s="230"/>
      <c r="H6" s="230"/>
      <c r="I6" s="231"/>
    </row>
    <row r="7" spans="2:9" ht="15.95" customHeight="1">
      <c r="B7" s="213" t="s">
        <v>246</v>
      </c>
      <c r="C7" s="214"/>
      <c r="D7" s="215"/>
      <c r="E7" s="202" t="s">
        <v>247</v>
      </c>
      <c r="F7" s="216"/>
      <c r="G7" s="202">
        <v>1</v>
      </c>
      <c r="H7" s="203"/>
      <c r="I7" s="216"/>
    </row>
    <row r="8" spans="2:9" ht="15.95" customHeight="1">
      <c r="B8" s="213" t="s">
        <v>144</v>
      </c>
      <c r="C8" s="214"/>
      <c r="D8" s="215"/>
      <c r="E8" s="202" t="s">
        <v>145</v>
      </c>
      <c r="F8" s="216"/>
      <c r="G8" s="202">
        <v>10</v>
      </c>
      <c r="H8" s="203"/>
      <c r="I8" s="216"/>
    </row>
    <row r="9" spans="2:9" ht="15.95" customHeight="1">
      <c r="B9" s="217" t="s">
        <v>98</v>
      </c>
      <c r="C9" s="218"/>
      <c r="D9" s="219"/>
      <c r="E9" s="220" t="s">
        <v>99</v>
      </c>
      <c r="F9" s="221"/>
      <c r="G9" s="220">
        <v>1</v>
      </c>
      <c r="H9" s="222"/>
      <c r="I9" s="221"/>
    </row>
    <row r="10" spans="2:9" ht="15.95" customHeight="1">
      <c r="B10" s="217" t="s">
        <v>107</v>
      </c>
      <c r="C10" s="218"/>
      <c r="D10" s="219"/>
      <c r="E10" s="220" t="s">
        <v>108</v>
      </c>
      <c r="F10" s="221"/>
      <c r="G10" s="220" t="s">
        <v>68</v>
      </c>
      <c r="H10" s="222"/>
      <c r="I10" s="221"/>
    </row>
    <row r="11" spans="2:9" ht="15.95" customHeight="1">
      <c r="B11" s="210" t="s">
        <v>219</v>
      </c>
      <c r="C11" s="211"/>
      <c r="D11" s="211"/>
      <c r="E11" s="211"/>
      <c r="F11" s="211"/>
      <c r="G11" s="211"/>
      <c r="H11" s="211"/>
      <c r="I11" s="212"/>
    </row>
    <row r="12" spans="2:9" ht="15.95" customHeight="1">
      <c r="B12" s="213" t="s">
        <v>220</v>
      </c>
      <c r="C12" s="214"/>
      <c r="D12" s="215"/>
      <c r="E12" s="202" t="s">
        <v>221</v>
      </c>
      <c r="F12" s="216"/>
      <c r="G12" s="202" t="s">
        <v>68</v>
      </c>
      <c r="H12" s="203"/>
      <c r="I12" s="216"/>
    </row>
    <row r="13" spans="2:9" ht="15.95" customHeight="1">
      <c r="B13" s="210" t="s">
        <v>89</v>
      </c>
      <c r="C13" s="211"/>
      <c r="D13" s="211"/>
      <c r="E13" s="211"/>
      <c r="F13" s="211"/>
      <c r="G13" s="211"/>
      <c r="H13" s="211"/>
      <c r="I13" s="212"/>
    </row>
    <row r="14" spans="2:9" ht="15.95" customHeight="1">
      <c r="B14" s="213" t="s">
        <v>313</v>
      </c>
      <c r="C14" s="226"/>
      <c r="D14" s="227"/>
      <c r="E14" s="228" t="s">
        <v>311</v>
      </c>
      <c r="F14" s="228"/>
      <c r="G14" s="202" t="s">
        <v>68</v>
      </c>
      <c r="H14" s="208"/>
      <c r="I14" s="209"/>
    </row>
    <row r="15" spans="2:9" ht="15.95" customHeight="1">
      <c r="B15" s="213" t="s">
        <v>314</v>
      </c>
      <c r="C15" s="226"/>
      <c r="D15" s="227"/>
      <c r="E15" s="228" t="s">
        <v>312</v>
      </c>
      <c r="F15" s="228"/>
      <c r="G15" s="202" t="s">
        <v>68</v>
      </c>
      <c r="H15" s="208"/>
      <c r="I15" s="209"/>
    </row>
    <row r="16" spans="2:9" ht="15.95" customHeight="1">
      <c r="B16" s="232" t="s">
        <v>316</v>
      </c>
      <c r="C16" s="233"/>
      <c r="D16" s="234"/>
      <c r="E16" s="235" t="s">
        <v>317</v>
      </c>
      <c r="F16" s="236"/>
      <c r="G16" s="235" t="s">
        <v>68</v>
      </c>
      <c r="H16" s="237"/>
      <c r="I16" s="236"/>
    </row>
    <row r="17" spans="2:9" ht="15.95" customHeight="1">
      <c r="B17" s="213" t="s">
        <v>301</v>
      </c>
      <c r="C17" s="226"/>
      <c r="D17" s="227"/>
      <c r="E17" s="228" t="s">
        <v>302</v>
      </c>
      <c r="F17" s="228"/>
      <c r="G17" s="202" t="s">
        <v>68</v>
      </c>
      <c r="H17" s="208"/>
      <c r="I17" s="209"/>
    </row>
    <row r="18" spans="2:9" ht="15.95" customHeight="1">
      <c r="B18" s="213" t="s">
        <v>297</v>
      </c>
      <c r="C18" s="214"/>
      <c r="D18" s="215"/>
      <c r="E18" s="202" t="s">
        <v>298</v>
      </c>
      <c r="F18" s="216"/>
      <c r="G18" s="202" t="s">
        <v>68</v>
      </c>
      <c r="H18" s="203"/>
      <c r="I18" s="216"/>
    </row>
    <row r="19" spans="2:9" ht="15.95" customHeight="1">
      <c r="B19" s="213" t="s">
        <v>284</v>
      </c>
      <c r="C19" s="214"/>
      <c r="D19" s="215"/>
      <c r="E19" s="202" t="s">
        <v>285</v>
      </c>
      <c r="F19" s="216"/>
      <c r="G19" s="202" t="s">
        <v>68</v>
      </c>
      <c r="H19" s="203"/>
      <c r="I19" s="216"/>
    </row>
    <row r="20" spans="2:9" ht="15.95" customHeight="1">
      <c r="B20" s="213" t="s">
        <v>278</v>
      </c>
      <c r="C20" s="214"/>
      <c r="D20" s="215"/>
      <c r="E20" s="202" t="s">
        <v>279</v>
      </c>
      <c r="F20" s="216"/>
      <c r="G20" s="202" t="s">
        <v>68</v>
      </c>
      <c r="H20" s="203"/>
      <c r="I20" s="216"/>
    </row>
    <row r="21" spans="2:9" ht="15.95" customHeight="1">
      <c r="B21" s="213" t="s">
        <v>276</v>
      </c>
      <c r="C21" s="214"/>
      <c r="D21" s="215"/>
      <c r="E21" s="202" t="s">
        <v>277</v>
      </c>
      <c r="F21" s="216"/>
      <c r="G21" s="202" t="s">
        <v>68</v>
      </c>
      <c r="H21" s="203"/>
      <c r="I21" s="216"/>
    </row>
    <row r="22" spans="2:9" ht="15.95" customHeight="1">
      <c r="B22" s="213" t="s">
        <v>199</v>
      </c>
      <c r="C22" s="214"/>
      <c r="D22" s="215"/>
      <c r="E22" s="202" t="s">
        <v>200</v>
      </c>
      <c r="F22" s="216"/>
      <c r="G22" s="202" t="s">
        <v>68</v>
      </c>
      <c r="H22" s="203"/>
      <c r="I22" s="216"/>
    </row>
    <row r="23" spans="2:9" ht="15.95" customHeight="1">
      <c r="B23" s="213" t="s">
        <v>180</v>
      </c>
      <c r="C23" s="214"/>
      <c r="D23" s="215"/>
      <c r="E23" s="202" t="s">
        <v>181</v>
      </c>
      <c r="F23" s="216"/>
      <c r="G23" s="202" t="s">
        <v>68</v>
      </c>
      <c r="H23" s="203"/>
      <c r="I23" s="216"/>
    </row>
    <row r="24" spans="2:9" ht="15.95" customHeight="1">
      <c r="B24" s="213" t="s">
        <v>164</v>
      </c>
      <c r="C24" s="214"/>
      <c r="D24" s="215"/>
      <c r="E24" s="202" t="s">
        <v>165</v>
      </c>
      <c r="F24" s="216"/>
      <c r="G24" s="202">
        <v>1</v>
      </c>
      <c r="H24" s="203"/>
      <c r="I24" s="216"/>
    </row>
    <row r="25" spans="2:9" ht="15.95" customHeight="1">
      <c r="B25" s="223" t="s">
        <v>128</v>
      </c>
      <c r="C25" s="214"/>
      <c r="D25" s="224"/>
      <c r="E25" s="225" t="s">
        <v>127</v>
      </c>
      <c r="F25" s="204"/>
      <c r="G25" s="225">
        <v>0.5</v>
      </c>
      <c r="H25" s="203"/>
      <c r="I25" s="204"/>
    </row>
    <row r="26" spans="2:9" ht="15.95" customHeight="1">
      <c r="B26" s="217" t="s">
        <v>97</v>
      </c>
      <c r="C26" s="218"/>
      <c r="D26" s="219"/>
      <c r="E26" s="220" t="s">
        <v>96</v>
      </c>
      <c r="F26" s="221"/>
      <c r="G26" s="220" t="s">
        <v>68</v>
      </c>
      <c r="H26" s="222"/>
      <c r="I26" s="221"/>
    </row>
    <row r="27" spans="2:9" ht="15.95" customHeight="1">
      <c r="B27" s="217" t="s">
        <v>211</v>
      </c>
      <c r="C27" s="218"/>
      <c r="D27" s="219"/>
      <c r="E27" s="220" t="s">
        <v>213</v>
      </c>
      <c r="F27" s="221"/>
      <c r="G27" s="220" t="s">
        <v>68</v>
      </c>
      <c r="H27" s="222"/>
      <c r="I27" s="221"/>
    </row>
    <row r="28" spans="2:9" ht="15.95" customHeight="1">
      <c r="B28" s="217" t="s">
        <v>212</v>
      </c>
      <c r="C28" s="218"/>
      <c r="D28" s="219"/>
      <c r="E28" s="220" t="s">
        <v>214</v>
      </c>
      <c r="F28" s="221"/>
      <c r="G28" s="220" t="s">
        <v>68</v>
      </c>
      <c r="H28" s="222"/>
      <c r="I28" s="221"/>
    </row>
    <row r="29" spans="2:9" ht="15.95" customHeight="1">
      <c r="B29" s="217" t="s">
        <v>218</v>
      </c>
      <c r="C29" s="218"/>
      <c r="D29" s="219"/>
      <c r="E29" s="220" t="s">
        <v>217</v>
      </c>
      <c r="F29" s="221"/>
      <c r="G29" s="220"/>
      <c r="H29" s="222"/>
      <c r="I29" s="221"/>
    </row>
    <row r="30" spans="2:9" ht="15.95" customHeight="1">
      <c r="B30" s="210" t="s">
        <v>280</v>
      </c>
      <c r="C30" s="211"/>
      <c r="D30" s="211"/>
      <c r="E30" s="211"/>
      <c r="F30" s="211"/>
      <c r="G30" s="211"/>
      <c r="H30" s="211"/>
      <c r="I30" s="212"/>
    </row>
    <row r="31" spans="2:9" ht="15.95" customHeight="1">
      <c r="B31" s="213" t="s">
        <v>234</v>
      </c>
      <c r="C31" s="226"/>
      <c r="D31" s="227"/>
      <c r="E31" s="228" t="s">
        <v>137</v>
      </c>
      <c r="F31" s="228"/>
      <c r="G31" s="202">
        <v>1.85</v>
      </c>
      <c r="H31" s="208"/>
      <c r="I31" s="209"/>
    </row>
  </sheetData>
  <mergeCells count="81">
    <mergeCell ref="B8:D8"/>
    <mergeCell ref="B10:D10"/>
    <mergeCell ref="E17:F17"/>
    <mergeCell ref="B20:D20"/>
    <mergeCell ref="E20:F20"/>
    <mergeCell ref="B15:D15"/>
    <mergeCell ref="E15:F15"/>
    <mergeCell ref="G20:I20"/>
    <mergeCell ref="B21:D21"/>
    <mergeCell ref="E21:F21"/>
    <mergeCell ref="G21:I21"/>
    <mergeCell ref="G17:I17"/>
    <mergeCell ref="G28:I28"/>
    <mergeCell ref="B23:D23"/>
    <mergeCell ref="E23:F23"/>
    <mergeCell ref="G23:I23"/>
    <mergeCell ref="G25:I25"/>
    <mergeCell ref="B26:D26"/>
    <mergeCell ref="E26:F26"/>
    <mergeCell ref="G26:I26"/>
    <mergeCell ref="B27:D27"/>
    <mergeCell ref="E27:F27"/>
    <mergeCell ref="G10:I10"/>
    <mergeCell ref="B19:D19"/>
    <mergeCell ref="E19:F19"/>
    <mergeCell ref="G19:I19"/>
    <mergeCell ref="B18:D18"/>
    <mergeCell ref="E18:F18"/>
    <mergeCell ref="G18:I18"/>
    <mergeCell ref="B11:I11"/>
    <mergeCell ref="B12:D12"/>
    <mergeCell ref="E12:F12"/>
    <mergeCell ref="G12:I12"/>
    <mergeCell ref="B13:I13"/>
    <mergeCell ref="B17:D17"/>
    <mergeCell ref="B14:D14"/>
    <mergeCell ref="E14:F14"/>
    <mergeCell ref="G14:I14"/>
    <mergeCell ref="B1:I1"/>
    <mergeCell ref="B2:D2"/>
    <mergeCell ref="E2:F2"/>
    <mergeCell ref="G2:I2"/>
    <mergeCell ref="B3:I3"/>
    <mergeCell ref="B4:D4"/>
    <mergeCell ref="E4:F4"/>
    <mergeCell ref="G4:I4"/>
    <mergeCell ref="B5:D5"/>
    <mergeCell ref="E5:F5"/>
    <mergeCell ref="G5:I5"/>
    <mergeCell ref="B31:D31"/>
    <mergeCell ref="E31:F31"/>
    <mergeCell ref="G31:I31"/>
    <mergeCell ref="B6:I6"/>
    <mergeCell ref="B7:D7"/>
    <mergeCell ref="E7:F7"/>
    <mergeCell ref="G7:I7"/>
    <mergeCell ref="E8:F8"/>
    <mergeCell ref="G8:I8"/>
    <mergeCell ref="B9:D9"/>
    <mergeCell ref="E9:F9"/>
    <mergeCell ref="G9:I9"/>
    <mergeCell ref="B16:D16"/>
    <mergeCell ref="E16:F16"/>
    <mergeCell ref="G16:I16"/>
    <mergeCell ref="E10:F10"/>
    <mergeCell ref="G15:I15"/>
    <mergeCell ref="B30:I30"/>
    <mergeCell ref="B24:D24"/>
    <mergeCell ref="E24:F24"/>
    <mergeCell ref="G24:I24"/>
    <mergeCell ref="B22:D22"/>
    <mergeCell ref="E22:F22"/>
    <mergeCell ref="G22:I22"/>
    <mergeCell ref="B29:D29"/>
    <mergeCell ref="E29:F29"/>
    <mergeCell ref="G29:I29"/>
    <mergeCell ref="G27:I27"/>
    <mergeCell ref="B25:D25"/>
    <mergeCell ref="E25:F25"/>
    <mergeCell ref="B28:D28"/>
    <mergeCell ref="E28:F2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B2" sqref="B2:F2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47" t="s">
        <v>0</v>
      </c>
      <c r="C1" s="247"/>
      <c r="D1" s="5"/>
      <c r="E1" s="5"/>
      <c r="F1" s="5"/>
    </row>
    <row r="2" spans="1:6" ht="27.95" customHeight="1">
      <c r="A2" s="4"/>
      <c r="B2" s="248" t="s">
        <v>328</v>
      </c>
      <c r="C2" s="248"/>
      <c r="D2" s="248"/>
      <c r="E2" s="248"/>
      <c r="F2" s="248"/>
    </row>
    <row r="3" spans="1:6" ht="42.75" customHeight="1">
      <c r="B3" s="196" t="s">
        <v>42</v>
      </c>
      <c r="C3" s="197"/>
      <c r="D3" s="197"/>
      <c r="E3" s="197"/>
      <c r="F3" s="197"/>
    </row>
    <row r="4" spans="1:6" ht="31.5" customHeight="1">
      <c r="B4" s="2" t="s">
        <v>43</v>
      </c>
      <c r="C4" s="3" t="s">
        <v>44</v>
      </c>
      <c r="D4" s="3" t="s">
        <v>20</v>
      </c>
      <c r="E4" s="3" t="s">
        <v>45</v>
      </c>
      <c r="F4" s="3" t="s">
        <v>46</v>
      </c>
    </row>
    <row r="5" spans="1:6" ht="20.100000000000001" customHeight="1">
      <c r="B5" s="11" t="s">
        <v>71</v>
      </c>
      <c r="C5" s="13" t="s">
        <v>52</v>
      </c>
      <c r="D5" s="13" t="s">
        <v>48</v>
      </c>
      <c r="E5" s="14">
        <v>964981</v>
      </c>
      <c r="F5" s="13" t="s">
        <v>49</v>
      </c>
    </row>
    <row r="6" spans="1:6" ht="20.100000000000001" customHeight="1">
      <c r="B6" s="11" t="s">
        <v>70</v>
      </c>
      <c r="C6" s="12" t="s">
        <v>47</v>
      </c>
      <c r="D6" s="15" t="s">
        <v>51</v>
      </c>
      <c r="E6" s="14">
        <v>1001095</v>
      </c>
      <c r="F6" s="16" t="s">
        <v>50</v>
      </c>
    </row>
    <row r="7" spans="1:6" ht="20.100000000000001" customHeight="1">
      <c r="B7" s="11" t="s">
        <v>70</v>
      </c>
      <c r="C7" s="12" t="s">
        <v>52</v>
      </c>
      <c r="D7" s="15" t="s">
        <v>53</v>
      </c>
      <c r="E7" s="14" t="s">
        <v>50</v>
      </c>
      <c r="F7" s="16" t="s">
        <v>50</v>
      </c>
    </row>
    <row r="8" spans="1:6" ht="20.100000000000001" customHeight="1">
      <c r="B8" s="11" t="s">
        <v>74</v>
      </c>
      <c r="C8" s="17" t="s">
        <v>54</v>
      </c>
      <c r="D8" s="15" t="s">
        <v>55</v>
      </c>
      <c r="E8" s="14" t="s">
        <v>50</v>
      </c>
      <c r="F8" s="16" t="s">
        <v>50</v>
      </c>
    </row>
    <row r="9" spans="1:6" ht="20.100000000000001" customHeight="1">
      <c r="B9" s="11" t="s">
        <v>70</v>
      </c>
      <c r="C9" s="17" t="s">
        <v>54</v>
      </c>
      <c r="D9" s="15" t="s">
        <v>56</v>
      </c>
      <c r="E9" s="14" t="s">
        <v>50</v>
      </c>
      <c r="F9" s="16" t="s">
        <v>50</v>
      </c>
    </row>
    <row r="10" spans="1:6" ht="20.100000000000001" customHeight="1">
      <c r="B10" s="11" t="s">
        <v>73</v>
      </c>
      <c r="C10" s="12" t="s">
        <v>47</v>
      </c>
      <c r="D10" s="15" t="s">
        <v>76</v>
      </c>
      <c r="E10" s="14" t="s">
        <v>50</v>
      </c>
      <c r="F10" s="16" t="s">
        <v>50</v>
      </c>
    </row>
    <row r="11" spans="1:6" ht="20.100000000000001" customHeight="1">
      <c r="B11" s="91" t="s">
        <v>73</v>
      </c>
      <c r="C11" s="92" t="s">
        <v>52</v>
      </c>
      <c r="D11" s="93" t="s">
        <v>103</v>
      </c>
      <c r="E11" s="97">
        <v>515493</v>
      </c>
      <c r="F11" s="16" t="s">
        <v>50</v>
      </c>
    </row>
    <row r="12" spans="1:6" ht="20.100000000000001" customHeight="1">
      <c r="B12" s="91" t="s">
        <v>72</v>
      </c>
      <c r="C12" s="92" t="s">
        <v>47</v>
      </c>
      <c r="D12" s="93" t="s">
        <v>77</v>
      </c>
      <c r="E12" s="97">
        <v>951110</v>
      </c>
      <c r="F12" s="16" t="s">
        <v>50</v>
      </c>
    </row>
    <row r="13" spans="1:6" ht="20.100000000000001" customHeight="1">
      <c r="B13" s="91" t="s">
        <v>72</v>
      </c>
      <c r="C13" s="92" t="s">
        <v>52</v>
      </c>
      <c r="D13" s="93" t="s">
        <v>75</v>
      </c>
      <c r="E13" s="94">
        <v>965050</v>
      </c>
      <c r="F13" s="16" t="s">
        <v>50</v>
      </c>
    </row>
    <row r="14" spans="1:6" ht="20.100000000000001" customHeight="1">
      <c r="B14" s="11" t="s">
        <v>73</v>
      </c>
      <c r="C14" s="17" t="s">
        <v>54</v>
      </c>
      <c r="D14" s="15" t="s">
        <v>104</v>
      </c>
      <c r="E14" s="14" t="s">
        <v>50</v>
      </c>
      <c r="F14" s="16" t="s">
        <v>50</v>
      </c>
    </row>
    <row r="15" spans="1:6" ht="20.100000000000001" customHeight="1">
      <c r="B15" s="11" t="s">
        <v>72</v>
      </c>
      <c r="C15" s="17" t="s">
        <v>54</v>
      </c>
      <c r="D15" s="15" t="s">
        <v>105</v>
      </c>
      <c r="E15" s="14">
        <v>978181.82</v>
      </c>
      <c r="F15" s="16" t="s">
        <v>50</v>
      </c>
    </row>
    <row r="16" spans="1:6" ht="20.100000000000001" customHeight="1">
      <c r="B16" s="11" t="s">
        <v>109</v>
      </c>
      <c r="C16" s="17" t="s">
        <v>47</v>
      </c>
      <c r="D16" s="15" t="s">
        <v>111</v>
      </c>
      <c r="E16" s="14" t="s">
        <v>50</v>
      </c>
      <c r="F16" s="16" t="s">
        <v>50</v>
      </c>
    </row>
    <row r="17" spans="2:6" ht="20.100000000000001" customHeight="1">
      <c r="B17" s="11" t="s">
        <v>110</v>
      </c>
      <c r="C17" s="17" t="s">
        <v>52</v>
      </c>
      <c r="D17" s="15" t="s">
        <v>112</v>
      </c>
      <c r="E17" s="14" t="s">
        <v>50</v>
      </c>
      <c r="F17" s="16" t="s">
        <v>50</v>
      </c>
    </row>
    <row r="18" spans="2:6" ht="20.100000000000001" customHeight="1">
      <c r="B18" s="11" t="s">
        <v>109</v>
      </c>
      <c r="C18" s="17" t="s">
        <v>52</v>
      </c>
      <c r="D18" s="15" t="s">
        <v>113</v>
      </c>
      <c r="E18" s="14" t="s">
        <v>50</v>
      </c>
      <c r="F18" s="16" t="s">
        <v>50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OTC</vt:lpstr>
      <vt:lpstr>Not trading 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2026-10-18T10:34:34Z</cp:lastPrinted>
  <dcterms:created xsi:type="dcterms:W3CDTF">2024-09-12T06:50:39Z</dcterms:created>
  <dcterms:modified xsi:type="dcterms:W3CDTF">2026-10-18T11:07:49Z</dcterms:modified>
</cp:coreProperties>
</file>